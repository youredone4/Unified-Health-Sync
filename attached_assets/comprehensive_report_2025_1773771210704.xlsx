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/>
  </bookViews>
  <sheets>
    <sheet name="ANNUAL (A1.A)" sheetId="1" r:id="rId1"/>
  </sheets>
  <externalReferences>
    <externalReference r:id="rId2"/>
  </externalReferences>
  <definedNames>
    <definedName name="_xlnm.Print_Area" localSheetId="0">'ANNUAL (A1.A)'!$A$1:$Z$323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<sst xmlns="http://schemas.openxmlformats.org/spreadsheetml/2006/main" count="735" uniqueCount="415">
  <si>
    <t>FHSIS REPORT for the Quarter:</t>
  </si>
  <si>
    <t>ANNUAL</t>
  </si>
  <si>
    <t>Year:</t>
  </si>
  <si>
    <t>M1
BRGY</t>
  </si>
  <si>
    <t>Name of Barangay:</t>
  </si>
  <si>
    <t>Name of Barangay Health Station:</t>
  </si>
  <si>
    <t>Name of Municipality/City:</t>
  </si>
  <si>
    <t>PLACER</t>
  </si>
  <si>
    <t>Name of Province:</t>
  </si>
  <si>
    <t>SURIGAO DEL NORTE</t>
  </si>
  <si>
    <t>Projected Population of the Year:</t>
  </si>
  <si>
    <t>SECTION A. FAMILY PLANNING SERVICES FOR WOMEN OF REPRODUCTIVE AGE</t>
  </si>
  <si>
    <t>Demand Satisfied</t>
  </si>
  <si>
    <t>Age Group</t>
  </si>
  <si>
    <t>Total Demand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</si>
  <si>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</si>
  <si>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</si>
  <si>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</si>
  <si>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</si>
  <si>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</si>
  <si>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</si>
  <si>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rPr>
        <b/>
        <sz val="12"/>
        <color rgb="FFFFFFFF"/>
        <rFont val="Barlow"/>
        <charset val="134"/>
      </rPr>
      <t xml:space="preserve">Current Users
</t>
    </r>
    <r>
      <rPr>
        <sz val="12"/>
        <color rgb="FFFFFFFF"/>
        <rFont val="Barlow"/>
        <charset val="134"/>
      </rPr>
      <t>(Beginning of the Month)</t>
    </r>
  </si>
  <si>
    <t>Acceptors</t>
  </si>
  <si>
    <r>
      <rPr>
        <b/>
        <sz val="12"/>
        <color rgb="FFFFFFFF"/>
        <rFont val="Barlow"/>
        <charset val="134"/>
      </rPr>
      <t xml:space="preserve">Drop-outs
</t>
    </r>
    <r>
      <rPr>
        <sz val="12"/>
        <color rgb="FFFFFFFF"/>
        <rFont val="Barlow"/>
        <charset val="134"/>
      </rPr>
      <t>(Present Month)</t>
    </r>
  </si>
  <si>
    <r>
      <rPr>
        <b/>
        <sz val="12"/>
        <color rgb="FFFFFFFF"/>
        <rFont val="Barlow"/>
        <charset val="134"/>
      </rPr>
      <t xml:space="preserve">Current User
</t>
    </r>
    <r>
      <rPr>
        <sz val="12"/>
        <color rgb="FFFFFFFF"/>
        <rFont val="Barlow"/>
        <charset val="134"/>
      </rPr>
      <t>(End of the Month)</t>
    </r>
  </si>
  <si>
    <r>
      <rPr>
        <b/>
        <sz val="12"/>
        <color rgb="FFFFFFFF"/>
        <rFont val="Barlow"/>
        <charset val="134"/>
      </rPr>
      <t xml:space="preserve">New Acceptors
</t>
    </r>
    <r>
      <rPr>
        <sz val="12"/>
        <color rgb="FFFFFFFF"/>
        <rFont val="Barlow"/>
        <charset val="134"/>
      </rPr>
      <t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</si>
  <si>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</si>
  <si>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</si>
  <si>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</si>
  <si>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</si>
  <si>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</si>
  <si>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</si>
  <si>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</si>
  <si>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</si>
  <si>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</si>
  <si>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</si>
  <si>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</si>
  <si>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</si>
  <si>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</si>
  <si>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</si>
  <si>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</si>
  <si>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</si>
  <si>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</si>
  <si>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</si>
  <si>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</si>
  <si>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</si>
  <si>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</si>
  <si>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</si>
  <si>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</si>
  <si>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</si>
  <si>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</si>
  <si>
    <t>SECTION B. MATERNAL CARE AND SERVICES</t>
  </si>
  <si>
    <t>Indicators</t>
  </si>
  <si>
    <t>PRENATAL CARE SERVICES</t>
  </si>
  <si>
    <t>1a. Women who gave birth with at least 4 prenatal check-ups (for Q1 to Q3 2025 only)</t>
  </si>
  <si>
    <r>
      <rPr>
        <sz val="12"/>
        <color theme="1"/>
        <rFont val="Barlow"/>
        <charset val="134"/>
      </rPr>
      <t xml:space="preserve">                       </t>
    </r>
    <r>
      <rPr>
        <b/>
        <sz val="12"/>
        <color theme="1"/>
        <rFont val="Barlow"/>
        <charset val="134"/>
      </rPr>
      <t>FHSIS MOP 2018</t>
    </r>
  </si>
  <si>
    <r>
      <rPr>
        <sz val="12"/>
        <color theme="1"/>
        <rFont val="Barlow"/>
        <charset val="134"/>
      </rPr>
      <t xml:space="preserve">3b. Number of Pregnant Women for the </t>
    </r>
    <r>
      <rPr>
        <b/>
        <sz val="12"/>
        <color theme="1"/>
        <rFont val="Barlow"/>
        <charset val="134"/>
      </rPr>
      <t>2nd or more times</t>
    </r>
    <r>
      <rPr>
        <sz val="12"/>
        <color theme="1"/>
        <rFont val="Barlow"/>
        <charset val="134"/>
      </rPr>
      <t xml:space="preserve"> given at least 3 doses of Td vaccination (Td2 Plus)</t>
    </r>
  </si>
  <si>
    <r>
      <rPr>
        <sz val="12"/>
        <color theme="1"/>
        <rFont val="Barlow"/>
        <charset val="134"/>
      </rPr>
      <t xml:space="preserve">1b. Total No. of Women who delivered and completed at least 8ANC </t>
    </r>
    <r>
      <rPr>
        <b/>
        <sz val="12"/>
        <color theme="1"/>
        <rFont val="Barlow"/>
        <charset val="134"/>
      </rPr>
      <t>=(a+b)</t>
    </r>
  </si>
  <si>
    <r>
      <rPr>
        <sz val="12"/>
        <color theme="1"/>
        <rFont val="Barlow"/>
        <charset val="134"/>
      </rPr>
      <t xml:space="preserve">4. Number of pregnant women who </t>
    </r>
    <r>
      <rPr>
        <b/>
        <sz val="12"/>
        <color theme="1"/>
        <rFont val="Barlow"/>
        <charset val="134"/>
      </rPr>
      <t xml:space="preserve">completed </t>
    </r>
    <r>
      <rPr>
        <sz val="12"/>
        <color theme="1"/>
        <rFont val="Barlow"/>
        <charset val="134"/>
      </rPr>
      <t>the dose of</t>
    </r>
    <r>
      <rPr>
        <b/>
        <sz val="12"/>
        <color theme="1"/>
        <rFont val="Barlow"/>
        <charset val="134"/>
      </rPr>
      <t xml:space="preserve"> iron with folic acid supplementation</t>
    </r>
  </si>
  <si>
    <r>
      <rPr>
        <sz val="12"/>
        <color theme="1"/>
        <rFont val="Barlow"/>
        <charset val="134"/>
      </rPr>
      <t xml:space="preserve">a. No. of Women who delivered and Provided </t>
    </r>
    <r>
      <rPr>
        <b/>
        <sz val="12"/>
        <color theme="1"/>
        <rFont val="Barlow"/>
        <charset val="134"/>
      </rPr>
      <t>1st to 8th ANC</t>
    </r>
    <r>
      <rPr>
        <sz val="12"/>
        <color theme="1"/>
        <rFont val="Barlow"/>
        <charset val="134"/>
      </rPr>
      <t xml:space="preserve"> on schedule</t>
    </r>
  </si>
  <si>
    <r>
      <rPr>
        <sz val="12"/>
        <color theme="1"/>
        <rFont val="Barlow"/>
        <charset val="134"/>
      </rPr>
      <t xml:space="preserve">5. No. of pregnant women who </t>
    </r>
    <r>
      <rPr>
        <b/>
        <sz val="12"/>
        <color theme="1"/>
        <rFont val="Barlow"/>
        <charset val="134"/>
      </rPr>
      <t>completed</t>
    </r>
    <r>
      <rPr>
        <sz val="12"/>
        <color theme="1"/>
        <rFont val="Barlow"/>
        <charset val="134"/>
      </rPr>
      <t xml:space="preserve"> the dose </t>
    </r>
    <r>
      <rPr>
        <b/>
        <sz val="12"/>
        <color theme="1"/>
        <rFont val="Barlow"/>
        <charset val="134"/>
      </rPr>
      <t>Multiple Micronutrient Supplementation (MMP)</t>
    </r>
  </si>
  <si>
    <t>b. No. of Women who delivered and completed at least 8ANC TRANS IN from other LGUs</t>
  </si>
  <si>
    <r>
      <rPr>
        <sz val="12"/>
        <color theme="1"/>
        <rFont val="Barlow"/>
        <charset val="134"/>
      </rPr>
      <t>6. No. of</t>
    </r>
    <r>
      <rPr>
        <b/>
        <sz val="12"/>
        <color theme="1"/>
        <rFont val="Barlow"/>
        <charset val="134"/>
      </rPr>
      <t xml:space="preserve"> high-risk pregnant</t>
    </r>
    <r>
      <rPr>
        <sz val="12"/>
        <color theme="1"/>
        <rFont val="Barlow"/>
        <charset val="134"/>
      </rPr>
      <t xml:space="preserve"> women who </t>
    </r>
    <r>
      <rPr>
        <b/>
        <sz val="12"/>
        <color theme="1"/>
        <rFont val="Barlow"/>
        <charset val="134"/>
      </rPr>
      <t>completed the dose of calcium carbonate</t>
    </r>
    <r>
      <rPr>
        <sz val="12"/>
        <color theme="1"/>
        <rFont val="Barlow"/>
        <charset val="134"/>
      </rPr>
      <t xml:space="preserve"> </t>
    </r>
    <r>
      <rPr>
        <b/>
        <sz val="12"/>
        <color theme="1"/>
        <rFont val="Barlow"/>
        <charset val="134"/>
      </rPr>
      <t>supplementation</t>
    </r>
  </si>
  <si>
    <r>
      <rPr>
        <sz val="12"/>
        <color theme="1"/>
        <rFont val="Barlow"/>
        <charset val="134"/>
      </rPr>
      <t>1c. Total No. of Women who delivered and were tracked during pregnancy</t>
    </r>
    <r>
      <rPr>
        <b/>
        <sz val="12"/>
        <color theme="1"/>
        <rFont val="Barlow"/>
        <charset val="134"/>
      </rPr>
      <t xml:space="preserve"> =(a+b)-c</t>
    </r>
  </si>
  <si>
    <t>Total No. 4ANC delivered &amp; tracked</t>
  </si>
  <si>
    <r>
      <rPr>
        <sz val="12"/>
        <color theme="1"/>
        <rFont val="Barlow"/>
        <charset val="134"/>
      </rPr>
      <t xml:space="preserve">7. No. of pregnant women given </t>
    </r>
    <r>
      <rPr>
        <b/>
        <sz val="12"/>
        <color theme="1"/>
        <rFont val="Barlow"/>
        <charset val="134"/>
      </rPr>
      <t>one dose of deworming tablet</t>
    </r>
  </si>
  <si>
    <r>
      <rPr>
        <sz val="12"/>
        <color theme="1"/>
        <rFont val="Barlow"/>
        <charset val="134"/>
      </rPr>
      <t xml:space="preserve">a. No. of Women who delivered and who were </t>
    </r>
    <r>
      <rPr>
        <b/>
        <sz val="12"/>
        <color theme="1"/>
        <rFont val="Barlow"/>
        <charset val="134"/>
      </rPr>
      <t>tracked</t>
    </r>
    <r>
      <rPr>
        <sz val="12"/>
        <color theme="1"/>
        <rFont val="Barlow"/>
        <charset val="134"/>
      </rPr>
      <t xml:space="preserve"> during pregnancy</t>
    </r>
  </si>
  <si>
    <t>RESIDENT</t>
  </si>
  <si>
    <t>0</t>
  </si>
  <si>
    <r>
      <rPr>
        <sz val="12"/>
        <color theme="1"/>
        <rFont val="Barlow"/>
        <charset val="134"/>
      </rPr>
      <t xml:space="preserve">8a. No of pregnant women </t>
    </r>
    <r>
      <rPr>
        <b/>
        <sz val="12"/>
        <color theme="1"/>
        <rFont val="Barlow"/>
        <charset val="134"/>
      </rPr>
      <t>screened for Hepatitis B</t>
    </r>
  </si>
  <si>
    <t>Greater than or equal to reactive for hepatitis B</t>
  </si>
  <si>
    <r>
      <rPr>
        <sz val="12"/>
        <color theme="1"/>
        <rFont val="Barlow"/>
        <charset val="134"/>
      </rPr>
      <t xml:space="preserve">b. No. of </t>
    </r>
    <r>
      <rPr>
        <b/>
        <sz val="12"/>
        <color theme="1"/>
        <rFont val="Barlow"/>
        <charset val="134"/>
      </rPr>
      <t xml:space="preserve">TRANS IN </t>
    </r>
    <r>
      <rPr>
        <sz val="12"/>
        <color theme="1"/>
        <rFont val="Barlow"/>
        <charset val="134"/>
      </rPr>
      <t>from other LGUs</t>
    </r>
  </si>
  <si>
    <t>TRANS IN</t>
  </si>
  <si>
    <r>
      <rPr>
        <sz val="12"/>
        <color theme="1"/>
        <rFont val="Barlow"/>
        <charset val="134"/>
      </rPr>
      <t xml:space="preserve">8b. No of pregnant women screened </t>
    </r>
    <r>
      <rPr>
        <b/>
        <sz val="12"/>
        <color theme="1"/>
        <rFont val="Barlow"/>
        <charset val="134"/>
      </rPr>
      <t>reactive for Hepatitis B</t>
    </r>
  </si>
  <si>
    <r>
      <rPr>
        <sz val="12"/>
        <color theme="1"/>
        <rFont val="Barlow"/>
        <charset val="134"/>
      </rPr>
      <t xml:space="preserve">c. No. of </t>
    </r>
    <r>
      <rPr>
        <b/>
        <sz val="12"/>
        <color theme="1"/>
        <rFont val="Barlow"/>
        <charset val="134"/>
      </rPr>
      <t>TRANS OUT</t>
    </r>
    <r>
      <rPr>
        <sz val="12"/>
        <color theme="1"/>
        <rFont val="Barlow"/>
        <charset val="134"/>
      </rPr>
      <t xml:space="preserve"> (with MOV) before completing 8ANC</t>
    </r>
  </si>
  <si>
    <r>
      <rPr>
        <sz val="12"/>
        <color theme="1"/>
        <rFont val="Barlow"/>
        <charset val="134"/>
      </rPr>
      <t>9a. No of pregnant women</t>
    </r>
    <r>
      <rPr>
        <b/>
        <sz val="12"/>
        <color theme="1"/>
        <rFont val="Barlow"/>
        <charset val="134"/>
      </rPr>
      <t xml:space="preserve"> screened for Anemia</t>
    </r>
  </si>
  <si>
    <t>Greater than or equal to diagnosed with anemia</t>
  </si>
  <si>
    <r>
      <rPr>
        <sz val="12"/>
        <color theme="1"/>
        <rFont val="Barlow"/>
        <charset val="134"/>
      </rPr>
      <t xml:space="preserve">2a. Number of pregnant women seen in the first trimester who have </t>
    </r>
    <r>
      <rPr>
        <b/>
        <sz val="12"/>
        <color theme="1"/>
        <rFont val="Barlow"/>
        <charset val="134"/>
      </rPr>
      <t>normal BMI</t>
    </r>
  </si>
  <si>
    <r>
      <rPr>
        <sz val="12"/>
        <color theme="1"/>
        <rFont val="Barlow"/>
        <charset val="134"/>
      </rPr>
      <t xml:space="preserve">9b. No of pregnant women </t>
    </r>
    <r>
      <rPr>
        <b/>
        <sz val="12"/>
        <color theme="1"/>
        <rFont val="Barlow"/>
        <charset val="134"/>
      </rPr>
      <t>diagnosed with Anemia</t>
    </r>
  </si>
  <si>
    <r>
      <rPr>
        <sz val="12"/>
        <color theme="1"/>
        <rFont val="Barlow"/>
        <charset val="134"/>
      </rPr>
      <t xml:space="preserve">2b. Number of pregnant women seen in the first trimester who have </t>
    </r>
    <r>
      <rPr>
        <b/>
        <sz val="12"/>
        <color theme="1"/>
        <rFont val="Barlow"/>
        <charset val="134"/>
      </rPr>
      <t>Low BMI</t>
    </r>
  </si>
  <si>
    <r>
      <rPr>
        <sz val="12"/>
        <color theme="1"/>
        <rFont val="Barlow"/>
        <charset val="134"/>
      </rPr>
      <t xml:space="preserve">10a. No of pregnant women </t>
    </r>
    <r>
      <rPr>
        <b/>
        <sz val="12"/>
        <color theme="1"/>
        <rFont val="Barlow"/>
        <charset val="134"/>
      </rPr>
      <t>screened for Gestational Diabetes Melitus</t>
    </r>
  </si>
  <si>
    <t>greater than or equal to tested positive for GDM</t>
  </si>
  <si>
    <r>
      <rPr>
        <sz val="12"/>
        <color theme="1"/>
        <rFont val="Barlow"/>
        <charset val="134"/>
      </rPr>
      <t xml:space="preserve">2c. Number of pregnant women seen in the first trimester who have </t>
    </r>
    <r>
      <rPr>
        <b/>
        <sz val="12"/>
        <color theme="1"/>
        <rFont val="Barlow"/>
        <charset val="134"/>
      </rPr>
      <t>High BMI</t>
    </r>
  </si>
  <si>
    <r>
      <rPr>
        <sz val="12"/>
        <color theme="1"/>
        <rFont val="Barlow"/>
        <charset val="134"/>
      </rPr>
      <t xml:space="preserve">10b. No of pregnant women </t>
    </r>
    <r>
      <rPr>
        <b/>
        <sz val="12"/>
        <color theme="1"/>
        <rFont val="Barlow"/>
        <charset val="134"/>
      </rPr>
      <t>tested positive for Gestational Diabetes Melitus</t>
    </r>
  </si>
  <si>
    <r>
      <rPr>
        <sz val="12"/>
        <color theme="1"/>
        <rFont val="Barlow"/>
        <charset val="134"/>
      </rPr>
      <t xml:space="preserve">3a. Number of women pregnant for the </t>
    </r>
    <r>
      <rPr>
        <b/>
        <sz val="12"/>
        <color theme="1"/>
        <rFont val="Barlow"/>
        <charset val="134"/>
      </rPr>
      <t>first time</t>
    </r>
    <r>
      <rPr>
        <sz val="12"/>
        <color theme="1"/>
        <rFont val="Barlow"/>
        <charset val="134"/>
      </rPr>
      <t xml:space="preserve"> given </t>
    </r>
    <r>
      <rPr>
        <b/>
        <sz val="12"/>
        <color theme="1"/>
        <rFont val="Barlow"/>
        <charset val="134"/>
      </rPr>
      <t>at least 2 doses</t>
    </r>
    <r>
      <rPr>
        <sz val="12"/>
        <color theme="1"/>
        <rFont val="Barlow"/>
        <charset val="134"/>
      </rPr>
      <t xml:space="preserve"> of Tetanus diphtheria (Td) vaccination</t>
    </r>
  </si>
  <si>
    <t>INTRAPARTUM AND NEWBORN CARE</t>
  </si>
  <si>
    <t>1. Total Deliveries</t>
  </si>
  <si>
    <r>
      <rPr>
        <sz val="12"/>
        <color theme="1"/>
        <rFont val="Barlow"/>
        <charset val="134"/>
      </rPr>
      <t xml:space="preserve">4. No. of </t>
    </r>
    <r>
      <rPr>
        <b/>
        <sz val="12"/>
        <color theme="1"/>
        <rFont val="Barlow"/>
        <charset val="134"/>
      </rPr>
      <t>facility based deliveries (FBD)</t>
    </r>
  </si>
  <si>
    <t>should equal to the total numbers of deliveries</t>
  </si>
  <si>
    <t>2. No. of Livebirths</t>
  </si>
  <si>
    <r>
      <rPr>
        <sz val="12"/>
        <color theme="1"/>
        <rFont val="Barlow"/>
        <charset val="134"/>
      </rPr>
      <t xml:space="preserve">a. </t>
    </r>
    <r>
      <rPr>
        <b/>
        <sz val="12"/>
        <color theme="1"/>
        <rFont val="Barlow"/>
        <charset val="134"/>
      </rPr>
      <t>Public</t>
    </r>
    <r>
      <rPr>
        <sz val="12"/>
        <color theme="1"/>
        <rFont val="Barlow"/>
        <charset val="134"/>
      </rPr>
      <t xml:space="preserve"> facility</t>
    </r>
  </si>
  <si>
    <r>
      <rPr>
        <sz val="12"/>
        <color theme="1"/>
        <rFont val="Barlow"/>
        <charset val="134"/>
      </rPr>
      <t xml:space="preserve">a. </t>
    </r>
    <r>
      <rPr>
        <b/>
        <sz val="12"/>
        <color theme="1"/>
        <rFont val="Barlow"/>
        <charset val="134"/>
      </rPr>
      <t>Normal</t>
    </r>
    <r>
      <rPr>
        <sz val="12"/>
        <color theme="1"/>
        <rFont val="Barlow"/>
        <charset val="134"/>
      </rPr>
      <t xml:space="preserve"> birth weight</t>
    </r>
  </si>
  <si>
    <r>
      <rPr>
        <sz val="12"/>
        <color theme="1"/>
        <rFont val="Barlow"/>
        <charset val="134"/>
      </rPr>
      <t xml:space="preserve">b. </t>
    </r>
    <r>
      <rPr>
        <b/>
        <sz val="12"/>
        <color theme="1"/>
        <rFont val="Barlow"/>
        <charset val="134"/>
      </rPr>
      <t>Private</t>
    </r>
    <r>
      <rPr>
        <sz val="12"/>
        <color theme="1"/>
        <rFont val="Barlow"/>
        <charset val="134"/>
      </rPr>
      <t xml:space="preserve"> facility</t>
    </r>
  </si>
  <si>
    <r>
      <rPr>
        <sz val="12"/>
        <color theme="1"/>
        <rFont val="Barlow"/>
        <charset val="134"/>
      </rPr>
      <t xml:space="preserve">b. </t>
    </r>
    <r>
      <rPr>
        <b/>
        <sz val="12"/>
        <color theme="1"/>
        <rFont val="Barlow"/>
        <charset val="134"/>
      </rPr>
      <t>Low</t>
    </r>
    <r>
      <rPr>
        <sz val="12"/>
        <color theme="1"/>
        <rFont val="Barlow"/>
        <charset val="134"/>
      </rPr>
      <t xml:space="preserve"> birth weight</t>
    </r>
  </si>
  <si>
    <r>
      <rPr>
        <sz val="12"/>
        <color theme="1"/>
        <rFont val="Barlow"/>
        <charset val="134"/>
      </rPr>
      <t xml:space="preserve">5a. No. of  </t>
    </r>
    <r>
      <rPr>
        <b/>
        <sz val="12"/>
        <color theme="1"/>
        <rFont val="Barlow"/>
        <charset val="134"/>
      </rPr>
      <t>Vaginal</t>
    </r>
    <r>
      <rPr>
        <sz val="12"/>
        <color theme="1"/>
        <rFont val="Barlow"/>
        <charset val="134"/>
      </rPr>
      <t xml:space="preserve"> deliveires</t>
    </r>
  </si>
  <si>
    <t>SUM should equal to the total number of deliveries</t>
  </si>
  <si>
    <r>
      <rPr>
        <sz val="12"/>
        <color theme="1"/>
        <rFont val="Barlow"/>
        <charset val="134"/>
      </rPr>
      <t xml:space="preserve">c. </t>
    </r>
    <r>
      <rPr>
        <b/>
        <sz val="12"/>
        <color theme="1"/>
        <rFont val="Barlow"/>
        <charset val="134"/>
      </rPr>
      <t>Unknown</t>
    </r>
    <r>
      <rPr>
        <sz val="12"/>
        <color theme="1"/>
        <rFont val="Barlow"/>
        <charset val="134"/>
      </rPr>
      <t xml:space="preserve"> birth weight</t>
    </r>
  </si>
  <si>
    <r>
      <rPr>
        <sz val="12"/>
        <color theme="1"/>
        <rFont val="Barlow"/>
        <charset val="134"/>
      </rPr>
      <t xml:space="preserve">5b.  No. of </t>
    </r>
    <r>
      <rPr>
        <b/>
        <sz val="12"/>
        <color theme="1"/>
        <rFont val="Barlow"/>
        <charset val="134"/>
      </rPr>
      <t>Cesarean</t>
    </r>
    <r>
      <rPr>
        <sz val="12"/>
        <color theme="1"/>
        <rFont val="Barlow"/>
        <charset val="134"/>
      </rPr>
      <t xml:space="preserve"> section</t>
    </r>
  </si>
  <si>
    <r>
      <rPr>
        <sz val="12"/>
        <color theme="1"/>
        <rFont val="Barlow"/>
        <charset val="134"/>
      </rPr>
      <t xml:space="preserve">3. No. of deliveries attended by </t>
    </r>
    <r>
      <rPr>
        <b/>
        <sz val="12"/>
        <color theme="1"/>
        <rFont val="Barlow"/>
        <charset val="134"/>
      </rPr>
      <t>skilled health professionals (SHP)</t>
    </r>
  </si>
  <si>
    <t>should equal to the total number of deliveries</t>
  </si>
  <si>
    <r>
      <rPr>
        <sz val="12"/>
        <color theme="1"/>
        <rFont val="Barlow"/>
        <charset val="134"/>
      </rPr>
      <t xml:space="preserve">5c.  No. of </t>
    </r>
    <r>
      <rPr>
        <b/>
        <sz val="12"/>
        <color theme="1"/>
        <rFont val="Barlow"/>
        <charset val="134"/>
      </rPr>
      <t>Combined Vaginal-Cesarean</t>
    </r>
    <r>
      <rPr>
        <sz val="12"/>
        <color theme="1"/>
        <rFont val="Barlow"/>
        <charset val="134"/>
      </rPr>
      <t xml:space="preserve"> Delivery</t>
    </r>
  </si>
  <si>
    <t>a. Physicians</t>
  </si>
  <si>
    <r>
      <rPr>
        <sz val="12"/>
        <color theme="1"/>
        <rFont val="Barlow"/>
        <charset val="134"/>
      </rPr>
      <t xml:space="preserve">6a. No. of </t>
    </r>
    <r>
      <rPr>
        <b/>
        <sz val="12"/>
        <color theme="1"/>
        <rFont val="Barlow"/>
        <charset val="134"/>
      </rPr>
      <t>Full-Term</t>
    </r>
    <r>
      <rPr>
        <sz val="12"/>
        <color theme="1"/>
        <rFont val="Barlow"/>
        <charset val="134"/>
      </rPr>
      <t xml:space="preserve"> deliveries</t>
    </r>
  </si>
  <si>
    <t>b. Nurses</t>
  </si>
  <si>
    <r>
      <rPr>
        <sz val="12"/>
        <color theme="1"/>
        <rFont val="Barlow"/>
        <charset val="134"/>
      </rPr>
      <t>6b. No. of</t>
    </r>
    <r>
      <rPr>
        <b/>
        <sz val="12"/>
        <color theme="1"/>
        <rFont val="Barlow"/>
        <charset val="134"/>
      </rPr>
      <t xml:space="preserve"> Pre-Term</t>
    </r>
    <r>
      <rPr>
        <sz val="12"/>
        <color theme="1"/>
        <rFont val="Barlow"/>
        <charset val="134"/>
      </rPr>
      <t xml:space="preserve"> Deliveries</t>
    </r>
  </si>
  <si>
    <t>c. Midwives</t>
  </si>
  <si>
    <r>
      <rPr>
        <sz val="12"/>
        <color theme="1"/>
        <rFont val="Barlow"/>
        <charset val="134"/>
      </rPr>
      <t xml:space="preserve">6c. No. of </t>
    </r>
    <r>
      <rPr>
        <b/>
        <sz val="12"/>
        <color theme="1"/>
        <rFont val="Barlow"/>
        <charset val="134"/>
      </rPr>
      <t>Fetal deaths</t>
    </r>
  </si>
  <si>
    <r>
      <rPr>
        <sz val="12"/>
        <color theme="1"/>
        <rFont val="Barlow"/>
        <charset val="134"/>
      </rPr>
      <t>6d. No. of  abortion/miscarriage</t>
    </r>
    <r>
      <rPr>
        <i/>
        <sz val="11"/>
        <color theme="1"/>
        <rFont val="Barlow"/>
        <charset val="134"/>
      </rPr>
      <t xml:space="preserve"> (count only)</t>
    </r>
  </si>
  <si>
    <t>POSTPARTUM CARE</t>
  </si>
  <si>
    <t>1a. Number and proportion of Postpartum women together with their newborn who completed at least 2PNC (for Q1 Jan to Feb 2025 only)</t>
  </si>
  <si>
    <t>JANUARY REPORTING ONLY</t>
  </si>
  <si>
    <r>
      <rPr>
        <sz val="12"/>
        <color theme="1"/>
        <rFont val="Barlow"/>
        <charset val="134"/>
      </rPr>
      <t xml:space="preserve">2. Number of postpartum women who </t>
    </r>
    <r>
      <rPr>
        <b/>
        <sz val="12"/>
        <color theme="1"/>
        <rFont val="Barlow"/>
        <charset val="134"/>
      </rPr>
      <t>completed</t>
    </r>
    <r>
      <rPr>
        <sz val="12"/>
        <color theme="1"/>
        <rFont val="Barlow"/>
        <charset val="134"/>
      </rPr>
      <t xml:space="preserve"> the dose of</t>
    </r>
    <r>
      <rPr>
        <b/>
        <sz val="12"/>
        <color theme="1"/>
        <rFont val="Barlow"/>
        <charset val="134"/>
      </rPr>
      <t xml:space="preserve"> iron with folic acid supplementation</t>
    </r>
  </si>
  <si>
    <r>
      <rPr>
        <sz val="12"/>
        <color theme="1"/>
        <rFont val="Barlow"/>
        <charset val="134"/>
      </rPr>
      <t xml:space="preserve">1b. Total No. of women who delivered and completed at least 4PNC </t>
    </r>
    <r>
      <rPr>
        <b/>
        <sz val="12"/>
        <color theme="1"/>
        <rFont val="Barlow"/>
        <charset val="134"/>
      </rPr>
      <t>=(a+b)</t>
    </r>
  </si>
  <si>
    <t>REPORTING IS FROM LAST MONTH(must complete the 4PNC before
reporting)</t>
  </si>
  <si>
    <r>
      <rPr>
        <sz val="12"/>
        <color theme="1"/>
        <rFont val="Barlow"/>
        <charset val="134"/>
      </rPr>
      <t xml:space="preserve">3. Number of postpartum women who </t>
    </r>
    <r>
      <rPr>
        <b/>
        <sz val="12"/>
        <color theme="1"/>
        <rFont val="Barlow"/>
        <charset val="134"/>
      </rPr>
      <t>completed</t>
    </r>
    <r>
      <rPr>
        <sz val="12"/>
        <color theme="1"/>
        <rFont val="Barlow"/>
        <charset val="134"/>
      </rPr>
      <t xml:space="preserve"> the dose of</t>
    </r>
    <r>
      <rPr>
        <b/>
        <sz val="12"/>
        <color theme="1"/>
        <rFont val="Barlow"/>
        <charset val="134"/>
      </rPr>
      <t xml:space="preserve"> Vitamin A supplementation</t>
    </r>
  </si>
  <si>
    <t>a. No. of women who delivered and Provided 1st to 4th PNC on schedule</t>
  </si>
  <si>
    <t>b. No. of women who delivered and completed at least 4PNC TRANS IN from other LGUs</t>
  </si>
  <si>
    <r>
      <rPr>
        <sz val="12"/>
        <color theme="1"/>
        <rFont val="Barlow"/>
        <charset val="134"/>
      </rPr>
      <t>1c. Total No. of women who delivered and who were tracked during pregnancy</t>
    </r>
    <r>
      <rPr>
        <b/>
        <sz val="12"/>
        <color theme="1"/>
        <rFont val="Barlow"/>
        <charset val="134"/>
      </rPr>
      <t xml:space="preserve"> =(a+b)-c</t>
    </r>
  </si>
  <si>
    <t>REPORTING ID FROM LAST MONTH
(data coincide with the 1b total no. Of
Women who delivered and completed at 
Least 4 PNC)</t>
  </si>
  <si>
    <r>
      <rPr>
        <sz val="12"/>
        <color theme="1"/>
        <rFont val="Barlow"/>
        <charset val="134"/>
      </rPr>
      <t xml:space="preserve">a. No. of women who delivered and who were tracked during pregnancy </t>
    </r>
    <r>
      <rPr>
        <b/>
        <sz val="12"/>
        <color theme="1"/>
        <rFont val="Barlow"/>
        <charset val="134"/>
      </rPr>
      <t>(New)</t>
    </r>
  </si>
  <si>
    <r>
      <rPr>
        <sz val="12"/>
        <color theme="1"/>
        <rFont val="Barlow"/>
        <charset val="134"/>
      </rPr>
      <t xml:space="preserve">c. No. of </t>
    </r>
    <r>
      <rPr>
        <b/>
        <sz val="12"/>
        <color theme="1"/>
        <rFont val="Barlow"/>
        <charset val="134"/>
      </rPr>
      <t>TRANS OUT</t>
    </r>
    <r>
      <rPr>
        <sz val="12"/>
        <color theme="1"/>
        <rFont val="Barlow"/>
        <charset val="134"/>
      </rPr>
      <t xml:space="preserve"> (with MOV) before completing 4PNC</t>
    </r>
  </si>
  <si>
    <t>SECTION C. CHILD CARE AND SERVICES</t>
  </si>
  <si>
    <t>Sex</t>
  </si>
  <si>
    <t>Male</t>
  </si>
  <si>
    <t>Female</t>
  </si>
  <si>
    <t>Total</t>
  </si>
  <si>
    <t>IMMUNIZATION</t>
  </si>
  <si>
    <t>A.1. Immunization Services</t>
  </si>
  <si>
    <r>
      <rPr>
        <sz val="12"/>
        <color theme="1"/>
        <rFont val="Barlow"/>
        <charset val="134"/>
      </rPr>
      <t xml:space="preserve">1. Children protected at birth </t>
    </r>
    <r>
      <rPr>
        <b/>
        <sz val="12"/>
        <color theme="1"/>
        <rFont val="Barlow"/>
        <charset val="134"/>
      </rPr>
      <t xml:space="preserve">(CPAB) </t>
    </r>
  </si>
  <si>
    <t>Child is first seen during immunization and mother was
Given complete TT/TD.</t>
  </si>
  <si>
    <t>4. Hep B antigen with in 24 hrs after birth</t>
  </si>
  <si>
    <r>
      <rPr>
        <sz val="12"/>
        <color theme="1"/>
        <rFont val="Barlow"/>
        <charset val="134"/>
      </rPr>
      <t xml:space="preserve">2. BCG (with in </t>
    </r>
    <r>
      <rPr>
        <b/>
        <sz val="12"/>
        <color theme="1"/>
        <rFont val="Barlow"/>
        <charset val="134"/>
      </rPr>
      <t>0-28 days</t>
    </r>
    <r>
      <rPr>
        <sz val="12"/>
        <color theme="1"/>
        <rFont val="Barlow"/>
        <charset val="134"/>
      </rPr>
      <t>)</t>
    </r>
  </si>
  <si>
    <t>5. Hep B antigen more than 24 hrs up to 14 days</t>
  </si>
  <si>
    <r>
      <rPr>
        <sz val="12"/>
        <color theme="1"/>
        <rFont val="Barlow"/>
        <charset val="134"/>
      </rPr>
      <t>3. BCG (</t>
    </r>
    <r>
      <rPr>
        <b/>
        <sz val="12"/>
        <color theme="1"/>
        <rFont val="Barlow"/>
        <charset val="134"/>
      </rPr>
      <t>29 days to 1 year old</t>
    </r>
    <r>
      <rPr>
        <sz val="12"/>
        <color theme="1"/>
        <rFont val="Barlow"/>
        <charset val="134"/>
      </rPr>
      <t>)</t>
    </r>
  </si>
  <si>
    <t>A.2. Immunization Services (0-12 months old)</t>
  </si>
  <si>
    <t>1. DPT-HiB-HepB 1</t>
  </si>
  <si>
    <t>8. IPV 2</t>
  </si>
  <si>
    <t>2. DPT-HiB-HepB 2</t>
  </si>
  <si>
    <t>9. PCV 1</t>
  </si>
  <si>
    <t>3. DPT-HiB-HepB 3</t>
  </si>
  <si>
    <t>10. PCV 2</t>
  </si>
  <si>
    <t>4. OPV 1</t>
  </si>
  <si>
    <t>11. PCV 3</t>
  </si>
  <si>
    <t>5. OPV 2</t>
  </si>
  <si>
    <t>12. MMR 1</t>
  </si>
  <si>
    <t>6. OPV 3</t>
  </si>
  <si>
    <t>13. MMR 2</t>
  </si>
  <si>
    <t>7. IPV 1</t>
  </si>
  <si>
    <t>14. FIC</t>
  </si>
  <si>
    <t>A.3. Immunization Services (13-23 months old)</t>
  </si>
  <si>
    <t>14. CIC</t>
  </si>
  <si>
    <t>A.4. School-Based Immunization</t>
  </si>
  <si>
    <t>1. HPV 1st dose (9 years old Female only)</t>
  </si>
  <si>
    <t>4. Grade 1 learners given MR</t>
  </si>
  <si>
    <t>2. HPV 2nd dose (9 years old Female only)</t>
  </si>
  <si>
    <t>5. Grade 7 learners given Td</t>
  </si>
  <si>
    <t>3. Grade 1 learners given Td</t>
  </si>
  <si>
    <t>6. Grade 7 learners given MR</t>
  </si>
  <si>
    <t>NUTRITION</t>
  </si>
  <si>
    <r>
      <rPr>
        <sz val="12"/>
        <color theme="1"/>
        <rFont val="Barlow"/>
        <charset val="134"/>
      </rPr>
      <t xml:space="preserve">1. a Newborns who were initiated on breastfeeding within </t>
    </r>
    <r>
      <rPr>
        <b/>
        <sz val="12"/>
        <color theme="1"/>
        <rFont val="Barlow"/>
        <charset val="134"/>
      </rPr>
      <t>1 hour after birth</t>
    </r>
  </si>
  <si>
    <r>
      <rPr>
        <sz val="12"/>
        <color theme="1"/>
        <rFont val="Barlow"/>
        <charset val="134"/>
      </rPr>
      <t>4a. Infants aged</t>
    </r>
    <r>
      <rPr>
        <b/>
        <sz val="12"/>
        <color theme="1"/>
        <rFont val="Barlow"/>
        <charset val="134"/>
      </rPr>
      <t xml:space="preserve"> 6-11 months old</t>
    </r>
    <r>
      <rPr>
        <sz val="12"/>
        <color theme="1"/>
        <rFont val="Barlow"/>
        <charset val="134"/>
      </rPr>
      <t xml:space="preserve"> who completed routine </t>
    </r>
    <r>
      <rPr>
        <b/>
        <sz val="12"/>
        <color theme="1"/>
        <rFont val="Barlow"/>
        <charset val="134"/>
      </rPr>
      <t>MNP supplementation</t>
    </r>
  </si>
  <si>
    <r>
      <rPr>
        <sz val="12"/>
        <color theme="1"/>
        <rFont val="Barlow"/>
        <charset val="134"/>
      </rPr>
      <t xml:space="preserve">1.b Infants exclusively breastfed until </t>
    </r>
    <r>
      <rPr>
        <b/>
        <sz val="12"/>
        <color theme="1"/>
        <rFont val="Barlow"/>
        <charset val="134"/>
      </rPr>
      <t>5th month and 29 days</t>
    </r>
  </si>
  <si>
    <r>
      <rPr>
        <sz val="12"/>
        <color theme="1"/>
        <rFont val="Barlow"/>
        <charset val="134"/>
      </rPr>
      <t xml:space="preserve">4b. Children aged </t>
    </r>
    <r>
      <rPr>
        <b/>
        <sz val="12"/>
        <color theme="1"/>
        <rFont val="Barlow"/>
        <charset val="134"/>
      </rPr>
      <t>12-23 months old</t>
    </r>
    <r>
      <rPr>
        <sz val="12"/>
        <color theme="1"/>
        <rFont val="Barlow"/>
        <charset val="134"/>
      </rPr>
      <t xml:space="preserve"> who completed routine </t>
    </r>
    <r>
      <rPr>
        <b/>
        <sz val="12"/>
        <color theme="1"/>
        <rFont val="Barlow"/>
        <charset val="134"/>
      </rPr>
      <t>MNP supplementation</t>
    </r>
  </si>
  <si>
    <t>1.c Infants who continued breastfeeding and were introduced to complementary feeding beginning at 6 months of age</t>
  </si>
  <si>
    <r>
      <rPr>
        <sz val="12"/>
        <color theme="1"/>
        <rFont val="Barlow"/>
        <charset val="134"/>
      </rPr>
      <t xml:space="preserve">5a. Infants aged </t>
    </r>
    <r>
      <rPr>
        <b/>
        <sz val="12"/>
        <color theme="1"/>
        <rFont val="Barlow"/>
        <charset val="134"/>
      </rPr>
      <t>6-11 months old</t>
    </r>
    <r>
      <rPr>
        <sz val="12"/>
        <color theme="1"/>
        <rFont val="Barlow"/>
        <charset val="134"/>
      </rPr>
      <t xml:space="preserve"> who completed routine </t>
    </r>
    <r>
      <rPr>
        <b/>
        <sz val="12"/>
        <color theme="1"/>
        <rFont val="Barlow"/>
        <charset val="134"/>
      </rPr>
      <t>LNS-SQ supplementation</t>
    </r>
  </si>
  <si>
    <r>
      <rPr>
        <sz val="12"/>
        <color theme="1"/>
        <rFont val="Barlow"/>
        <charset val="134"/>
      </rPr>
      <t>2. Infants born with</t>
    </r>
    <r>
      <rPr>
        <b/>
        <sz val="12"/>
        <color theme="1"/>
        <rFont val="Barlow"/>
        <charset val="134"/>
      </rPr>
      <t xml:space="preserve"> low birth weight</t>
    </r>
    <r>
      <rPr>
        <sz val="12"/>
        <color theme="1"/>
        <rFont val="Barlow"/>
        <charset val="134"/>
      </rPr>
      <t xml:space="preserve"> (LBW) given</t>
    </r>
    <r>
      <rPr>
        <b/>
        <sz val="12"/>
        <color theme="1"/>
        <rFont val="Barlow"/>
        <charset val="134"/>
      </rPr>
      <t xml:space="preserve"> complete Iron supplements</t>
    </r>
  </si>
  <si>
    <r>
      <rPr>
        <sz val="12"/>
        <color theme="1"/>
        <rFont val="Barlow"/>
        <charset val="134"/>
      </rPr>
      <t xml:space="preserve">5b. Children aged </t>
    </r>
    <r>
      <rPr>
        <b/>
        <sz val="12"/>
        <color theme="1"/>
        <rFont val="Barlow"/>
        <charset val="134"/>
      </rPr>
      <t>12-23 months old</t>
    </r>
    <r>
      <rPr>
        <sz val="12"/>
        <color theme="1"/>
        <rFont val="Barlow"/>
        <charset val="134"/>
      </rPr>
      <t xml:space="preserve"> who completed routine</t>
    </r>
    <r>
      <rPr>
        <b/>
        <sz val="12"/>
        <color theme="1"/>
        <rFont val="Barlow"/>
        <charset val="134"/>
      </rPr>
      <t xml:space="preserve"> LNS-SQ supplementation</t>
    </r>
  </si>
  <si>
    <r>
      <rPr>
        <sz val="12"/>
        <color theme="1"/>
        <rFont val="Barlow"/>
        <charset val="134"/>
      </rPr>
      <t>3a. Infants aged 6-11 months old who</t>
    </r>
    <r>
      <rPr>
        <b/>
        <sz val="12"/>
        <color theme="1"/>
        <rFont val="Barlow"/>
        <charset val="134"/>
      </rPr>
      <t xml:space="preserve"> received 1 dose of Vitamin A supplementation</t>
    </r>
  </si>
  <si>
    <r>
      <rPr>
        <sz val="12"/>
        <color theme="1"/>
        <rFont val="Barlow"/>
        <charset val="134"/>
      </rPr>
      <t xml:space="preserve">3b. Children aged 12-59 months old who </t>
    </r>
    <r>
      <rPr>
        <b/>
        <sz val="12"/>
        <color theme="1"/>
        <rFont val="Barlow"/>
        <charset val="134"/>
      </rPr>
      <t>completed 2 doses of Vitamin A Supplementation</t>
    </r>
  </si>
  <si>
    <t>6. Children 0-59 months old SEEN during the reporting period at health facilities</t>
  </si>
  <si>
    <t>7d. Died</t>
  </si>
  <si>
    <r>
      <rPr>
        <sz val="12"/>
        <color theme="1"/>
        <rFont val="Barlow"/>
        <charset val="134"/>
      </rPr>
      <t xml:space="preserve">6a. Identified </t>
    </r>
    <r>
      <rPr>
        <b/>
        <sz val="12"/>
        <color theme="1"/>
        <rFont val="Barlow"/>
        <charset val="134"/>
      </rPr>
      <t>MAM</t>
    </r>
  </si>
  <si>
    <r>
      <rPr>
        <sz val="12"/>
        <color theme="1"/>
        <rFont val="Barlow"/>
        <charset val="134"/>
      </rPr>
      <t xml:space="preserve">8. </t>
    </r>
    <r>
      <rPr>
        <b/>
        <sz val="12"/>
        <color theme="1"/>
        <rFont val="Barlow"/>
        <charset val="134"/>
      </rPr>
      <t xml:space="preserve">SAM </t>
    </r>
    <r>
      <rPr>
        <sz val="12"/>
        <color theme="1"/>
        <rFont val="Barlow"/>
        <charset val="134"/>
      </rPr>
      <t>without complication admitted to OTC</t>
    </r>
  </si>
  <si>
    <r>
      <rPr>
        <sz val="12"/>
        <color theme="1"/>
        <rFont val="Barlow"/>
        <charset val="134"/>
      </rPr>
      <t xml:space="preserve">6b. Identified </t>
    </r>
    <r>
      <rPr>
        <b/>
        <sz val="12"/>
        <color theme="1"/>
        <rFont val="Barlow"/>
        <charset val="134"/>
      </rPr>
      <t>SAM</t>
    </r>
  </si>
  <si>
    <t>8a. Cured</t>
  </si>
  <si>
    <r>
      <rPr>
        <sz val="12"/>
        <color theme="1"/>
        <rFont val="Barlow"/>
        <charset val="134"/>
      </rPr>
      <t xml:space="preserve">7. </t>
    </r>
    <r>
      <rPr>
        <b/>
        <sz val="12"/>
        <color theme="1"/>
        <rFont val="Barlow"/>
        <charset val="134"/>
      </rPr>
      <t>MAM</t>
    </r>
    <r>
      <rPr>
        <sz val="12"/>
        <color theme="1"/>
        <rFont val="Barlow"/>
        <charset val="134"/>
      </rPr>
      <t xml:space="preserve"> enrolled to SFP</t>
    </r>
  </si>
  <si>
    <t>8b. Non-cured</t>
  </si>
  <si>
    <t>7a. Cured</t>
  </si>
  <si>
    <t>8c. Defaulted</t>
  </si>
  <si>
    <t>7b. Non-cured</t>
  </si>
  <si>
    <t>8d. Died</t>
  </si>
  <si>
    <t>7c. Defaulted</t>
  </si>
  <si>
    <t>MANAGEMENT OF SICK</t>
  </si>
  <si>
    <r>
      <rPr>
        <sz val="12"/>
        <color theme="1"/>
        <rFont val="Barlow"/>
        <charset val="134"/>
      </rPr>
      <t xml:space="preserve">1. Sick infants aged </t>
    </r>
    <r>
      <rPr>
        <b/>
        <sz val="12"/>
        <color theme="1"/>
        <rFont val="Barlow"/>
        <charset val="134"/>
      </rPr>
      <t>6-11 months old seen</t>
    </r>
  </si>
  <si>
    <t>greater than or equal to received vitamin a capsule</t>
  </si>
  <si>
    <r>
      <rPr>
        <sz val="12"/>
        <color theme="1"/>
        <rFont val="Barlow"/>
        <charset val="134"/>
      </rPr>
      <t xml:space="preserve">3a. 0-59 months old with acute diarrhea who </t>
    </r>
    <r>
      <rPr>
        <b/>
        <sz val="12"/>
        <color theme="1"/>
        <rFont val="Barlow"/>
        <charset val="134"/>
      </rPr>
      <t>received ORS only</t>
    </r>
  </si>
  <si>
    <r>
      <rPr>
        <sz val="12"/>
        <color theme="1"/>
        <rFont val="Barlow"/>
        <charset val="134"/>
      </rPr>
      <t>1a. Sick infants aged</t>
    </r>
    <r>
      <rPr>
        <b/>
        <sz val="12"/>
        <color theme="1"/>
        <rFont val="Barlow"/>
        <charset val="134"/>
      </rPr>
      <t xml:space="preserve"> 6-11 months old</t>
    </r>
    <r>
      <rPr>
        <sz val="12"/>
        <color theme="1"/>
        <rFont val="Barlow"/>
        <charset val="134"/>
      </rPr>
      <t xml:space="preserve"> who </t>
    </r>
    <r>
      <rPr>
        <b/>
        <sz val="12"/>
        <color theme="1"/>
        <rFont val="Barlow"/>
        <charset val="134"/>
      </rPr>
      <t>received Vitamin A capsule</t>
    </r>
    <r>
      <rPr>
        <sz val="12"/>
        <color theme="1"/>
        <rFont val="Barlow"/>
        <charset val="134"/>
      </rPr>
      <t xml:space="preserve"> aside from routine supplementation</t>
    </r>
  </si>
  <si>
    <r>
      <rPr>
        <sz val="12"/>
        <color theme="1"/>
        <rFont val="Barlow"/>
        <charset val="134"/>
      </rPr>
      <t>3b. 0-59 months old with acute diarrhea who</t>
    </r>
    <r>
      <rPr>
        <b/>
        <sz val="12"/>
        <color theme="1"/>
        <rFont val="Barlow"/>
        <charset val="134"/>
      </rPr>
      <t xml:space="preserve"> received ORS and Zinc drops/syrup</t>
    </r>
  </si>
  <si>
    <r>
      <rPr>
        <sz val="12"/>
        <color theme="1"/>
        <rFont val="Barlow"/>
        <charset val="134"/>
      </rPr>
      <t xml:space="preserve">2. Sick infants aged </t>
    </r>
    <r>
      <rPr>
        <b/>
        <sz val="12"/>
        <color theme="1"/>
        <rFont val="Barlow"/>
        <charset val="134"/>
      </rPr>
      <t>12-59 months old seen</t>
    </r>
  </si>
  <si>
    <r>
      <rPr>
        <sz val="12"/>
        <color theme="1"/>
        <rFont val="Barlow"/>
        <charset val="134"/>
      </rPr>
      <t>4. Pneumonia cases</t>
    </r>
    <r>
      <rPr>
        <b/>
        <sz val="12"/>
        <color theme="1"/>
        <rFont val="Barlow"/>
        <charset val="134"/>
      </rPr>
      <t xml:space="preserve"> 0-59 months old seen</t>
    </r>
  </si>
  <si>
    <t>greater than or equal to received antibiotic treatment</t>
  </si>
  <si>
    <r>
      <rPr>
        <sz val="12"/>
        <color theme="1"/>
        <rFont val="Barlow"/>
        <charset val="134"/>
      </rPr>
      <t xml:space="preserve">2a. Sick infants aged </t>
    </r>
    <r>
      <rPr>
        <b/>
        <sz val="12"/>
        <color theme="1"/>
        <rFont val="Barlow"/>
        <charset val="134"/>
      </rPr>
      <t>12-59 months old</t>
    </r>
    <r>
      <rPr>
        <sz val="12"/>
        <color theme="1"/>
        <rFont val="Barlow"/>
        <charset val="134"/>
      </rPr>
      <t xml:space="preserve"> who </t>
    </r>
    <r>
      <rPr>
        <b/>
        <sz val="12"/>
        <color theme="1"/>
        <rFont val="Barlow"/>
        <charset val="134"/>
      </rPr>
      <t>received Vitamin A capsule</t>
    </r>
    <r>
      <rPr>
        <sz val="12"/>
        <color theme="1"/>
        <rFont val="Barlow"/>
        <charset val="134"/>
      </rPr>
      <t xml:space="preserve"> aside from routine supplementation</t>
    </r>
  </si>
  <si>
    <r>
      <rPr>
        <sz val="12"/>
        <color theme="1"/>
        <rFont val="Barlow"/>
        <charset val="134"/>
      </rPr>
      <t xml:space="preserve">4a. 0-59 months old with pneumonia who </t>
    </r>
    <r>
      <rPr>
        <b/>
        <sz val="12"/>
        <color theme="1"/>
        <rFont val="Barlow"/>
        <charset val="134"/>
      </rPr>
      <t>received antibiotic treatment</t>
    </r>
  </si>
  <si>
    <r>
      <rPr>
        <sz val="12"/>
        <color theme="1"/>
        <rFont val="Barlow"/>
        <charset val="134"/>
      </rPr>
      <t xml:space="preserve">3. Acute diarrhea cases </t>
    </r>
    <r>
      <rPr>
        <b/>
        <sz val="12"/>
        <color theme="1"/>
        <rFont val="Barlow"/>
        <charset val="134"/>
      </rPr>
      <t>0-59 months old seen</t>
    </r>
  </si>
  <si>
    <t>greater than or equal to received ORS + ORS and zinc drops syrup</t>
  </si>
  <si>
    <t>SECTION D. ORAL HEALTH CARE SERVICES</t>
  </si>
  <si>
    <t>FIRST VISIT TO AN ORAL HEALTH CARE PROFESSIONAL</t>
  </si>
  <si>
    <r>
      <rPr>
        <sz val="12"/>
        <color theme="1"/>
        <rFont val="Barlow"/>
        <charset val="134"/>
      </rPr>
      <t xml:space="preserve">1. Infants 0-11 months old who had their </t>
    </r>
    <r>
      <rPr>
        <b/>
        <sz val="12"/>
        <color theme="1"/>
        <rFont val="Barlow"/>
        <charset val="134"/>
      </rPr>
      <t>first dental visit</t>
    </r>
  </si>
  <si>
    <t>1. Children 1-4 years old who completed 2 visits to an oral health care professional within a year</t>
  </si>
  <si>
    <t>1. Children 1-4 years old who had their 1st visit to an oral health care professional within a year</t>
  </si>
  <si>
    <r>
      <rPr>
        <sz val="12"/>
        <color theme="1"/>
        <rFont val="Barlow"/>
        <charset val="134"/>
      </rPr>
      <t xml:space="preserve">1a. Children 1-4 years old who completed 2 visits to a </t>
    </r>
    <r>
      <rPr>
        <b/>
        <sz val="12"/>
        <color theme="1"/>
        <rFont val="Barlow"/>
        <charset val="134"/>
      </rPr>
      <t xml:space="preserve">facility-based </t>
    </r>
    <r>
      <rPr>
        <sz val="12"/>
        <color theme="1"/>
        <rFont val="Barlow"/>
        <charset val="134"/>
      </rPr>
      <t>oral health care professional within a year</t>
    </r>
  </si>
  <si>
    <r>
      <rPr>
        <sz val="12"/>
        <color theme="1"/>
        <rFont val="Barlow"/>
        <charset val="134"/>
      </rPr>
      <t xml:space="preserve">1a. Children 1-4 years old who had their 1st visit to a </t>
    </r>
    <r>
      <rPr>
        <b/>
        <sz val="12"/>
        <color theme="1"/>
        <rFont val="Barlow"/>
        <charset val="134"/>
      </rPr>
      <t>facility-based</t>
    </r>
    <r>
      <rPr>
        <sz val="12"/>
        <color theme="1"/>
        <rFont val="Barlow"/>
        <charset val="134"/>
      </rPr>
      <t xml:space="preserve"> oral health care professional within a year</t>
    </r>
  </si>
  <si>
    <r>
      <rPr>
        <sz val="12"/>
        <color theme="1"/>
        <rFont val="Barlow"/>
        <charset val="134"/>
      </rPr>
      <t xml:space="preserve">1b. Children 1-4 years old who completed 2 visits to a </t>
    </r>
    <r>
      <rPr>
        <b/>
        <sz val="12"/>
        <color theme="1"/>
        <rFont val="Barlow"/>
        <charset val="134"/>
      </rPr>
      <t>non-facility-based</t>
    </r>
    <r>
      <rPr>
        <sz val="12"/>
        <color theme="1"/>
        <rFont val="Barlow"/>
        <charset val="134"/>
      </rPr>
      <t xml:space="preserve"> oral health care professional within a year</t>
    </r>
  </si>
  <si>
    <r>
      <rPr>
        <sz val="12"/>
        <color theme="1"/>
        <rFont val="Barlow"/>
        <charset val="134"/>
      </rPr>
      <t xml:space="preserve">1b. Children 1-4 years old who had their 1st visit to a </t>
    </r>
    <r>
      <rPr>
        <b/>
        <sz val="12"/>
        <color theme="1"/>
        <rFont val="Barlow"/>
        <charset val="134"/>
      </rPr>
      <t>non-facility-based</t>
    </r>
    <r>
      <rPr>
        <sz val="12"/>
        <color theme="1"/>
        <rFont val="Barlow"/>
        <charset val="134"/>
      </rPr>
      <t xml:space="preserve"> oral health care professional within a year</t>
    </r>
  </si>
  <si>
    <t>2. Children 5-9 years old who completed 2 visits to an oral health care professional within a year</t>
  </si>
  <si>
    <t>2. Children 5-9 years old who had their 1st visit to an oral health care professional within a year</t>
  </si>
  <si>
    <r>
      <rPr>
        <sz val="12"/>
        <color theme="1"/>
        <rFont val="Barlow"/>
        <charset val="134"/>
      </rPr>
      <t xml:space="preserve">2a. Children 5-9 years old who completed 2 visits to a </t>
    </r>
    <r>
      <rPr>
        <b/>
        <sz val="12"/>
        <color theme="1"/>
        <rFont val="Barlow"/>
        <charset val="134"/>
      </rPr>
      <t>facility-based</t>
    </r>
    <r>
      <rPr>
        <sz val="12"/>
        <color theme="1"/>
        <rFont val="Barlow"/>
        <charset val="134"/>
      </rPr>
      <t xml:space="preserve"> oral health care professional within a year</t>
    </r>
  </si>
  <si>
    <r>
      <rPr>
        <sz val="12"/>
        <color theme="1"/>
        <rFont val="Barlow"/>
        <charset val="134"/>
      </rPr>
      <t xml:space="preserve">2a. Children 5-9 years old who had their 1st visit to a </t>
    </r>
    <r>
      <rPr>
        <b/>
        <sz val="12"/>
        <color theme="1"/>
        <rFont val="Barlow"/>
        <charset val="134"/>
      </rPr>
      <t>facility-based</t>
    </r>
    <r>
      <rPr>
        <sz val="12"/>
        <color theme="1"/>
        <rFont val="Barlow"/>
        <charset val="134"/>
      </rPr>
      <t xml:space="preserve"> oral health care professional within a year</t>
    </r>
  </si>
  <si>
    <r>
      <rPr>
        <sz val="12"/>
        <color theme="1"/>
        <rFont val="Barlow"/>
        <charset val="134"/>
      </rPr>
      <t xml:space="preserve">2b. Children 5-9 years old who completed 2 visits to a </t>
    </r>
    <r>
      <rPr>
        <b/>
        <sz val="12"/>
        <color theme="1"/>
        <rFont val="Barlow"/>
        <charset val="134"/>
      </rPr>
      <t>non-facility-based</t>
    </r>
    <r>
      <rPr>
        <sz val="12"/>
        <color theme="1"/>
        <rFont val="Barlow"/>
        <charset val="134"/>
      </rPr>
      <t xml:space="preserve"> oral health care professional within a year</t>
    </r>
  </si>
  <si>
    <r>
      <rPr>
        <sz val="12"/>
        <color theme="1"/>
        <rFont val="Barlow"/>
        <charset val="134"/>
      </rPr>
      <t xml:space="preserve">2b. Children 5-9 years old who had their 1st visit to a </t>
    </r>
    <r>
      <rPr>
        <b/>
        <sz val="12"/>
        <color theme="1"/>
        <rFont val="Barlow"/>
        <charset val="134"/>
      </rPr>
      <t>non-facility-based</t>
    </r>
    <r>
      <rPr>
        <sz val="12"/>
        <color theme="1"/>
        <rFont val="Barlow"/>
        <charset val="134"/>
      </rPr>
      <t xml:space="preserve"> oral health care professional within a year</t>
    </r>
  </si>
  <si>
    <t>3. Adolescents 10-19 years old who completed 2 visits to an oral health care professional within a year</t>
  </si>
  <si>
    <t>3. Adolescents 10-19 years old who had their 1st visit to an oral health care professional within a year</t>
  </si>
  <si>
    <r>
      <rPr>
        <sz val="12"/>
        <color theme="1"/>
        <rFont val="Barlow"/>
        <charset val="134"/>
      </rPr>
      <t xml:space="preserve">3a. Adolescents 10-19 years old who completed 2 visits to a </t>
    </r>
    <r>
      <rPr>
        <b/>
        <sz val="12"/>
        <color theme="1"/>
        <rFont val="Barlow"/>
        <charset val="134"/>
      </rPr>
      <t>facility-based</t>
    </r>
    <r>
      <rPr>
        <sz val="12"/>
        <color theme="1"/>
        <rFont val="Barlow"/>
        <charset val="134"/>
      </rPr>
      <t xml:space="preserve"> oral health care professional within a year</t>
    </r>
  </si>
  <si>
    <r>
      <rPr>
        <sz val="12"/>
        <color theme="1"/>
        <rFont val="Barlow"/>
        <charset val="134"/>
      </rPr>
      <t xml:space="preserve">3a. Adolescents 10-19 years old who had their 1st visit to a </t>
    </r>
    <r>
      <rPr>
        <b/>
        <sz val="12"/>
        <color theme="1"/>
        <rFont val="Barlow"/>
        <charset val="134"/>
      </rPr>
      <t>facility-based</t>
    </r>
    <r>
      <rPr>
        <sz val="12"/>
        <color theme="1"/>
        <rFont val="Barlow"/>
        <charset val="134"/>
      </rPr>
      <t xml:space="preserve"> oral health care professional within a year</t>
    </r>
  </si>
  <si>
    <r>
      <rPr>
        <sz val="12"/>
        <color theme="1"/>
        <rFont val="Barlow"/>
        <charset val="134"/>
      </rPr>
      <t xml:space="preserve">3b. Adolescents 10-19 years old who completed 2 visits to a </t>
    </r>
    <r>
      <rPr>
        <b/>
        <sz val="12"/>
        <color theme="1"/>
        <rFont val="Barlow"/>
        <charset val="134"/>
      </rPr>
      <t>non-facility-based</t>
    </r>
    <r>
      <rPr>
        <sz val="12"/>
        <color theme="1"/>
        <rFont val="Barlow"/>
        <charset val="134"/>
      </rPr>
      <t xml:space="preserve"> oral health care professional within a year</t>
    </r>
  </si>
  <si>
    <r>
      <rPr>
        <sz val="12"/>
        <color theme="1"/>
        <rFont val="Barlow"/>
        <charset val="134"/>
      </rPr>
      <t xml:space="preserve">3b. Adolescents 10-19 years old who had their 1st visit to a </t>
    </r>
    <r>
      <rPr>
        <b/>
        <sz val="12"/>
        <color theme="1"/>
        <rFont val="Barlow"/>
        <charset val="134"/>
      </rPr>
      <t>non-facility-based</t>
    </r>
    <r>
      <rPr>
        <sz val="12"/>
        <color theme="1"/>
        <rFont val="Barlow"/>
        <charset val="134"/>
      </rPr>
      <t xml:space="preserve"> oral health care professional within a year</t>
    </r>
  </si>
  <si>
    <t>4. Adults 20-59 years old who completed 2 visits to an oral health care professional within a year</t>
  </si>
  <si>
    <t>4. Adults 20-59 years old who had their 1st visit to an oral health care professional within a year</t>
  </si>
  <si>
    <r>
      <rPr>
        <sz val="12"/>
        <color theme="1"/>
        <rFont val="Barlow"/>
        <charset val="134"/>
      </rPr>
      <t xml:space="preserve">4a. Adults 20-59 years old who completed 2 visits to a </t>
    </r>
    <r>
      <rPr>
        <b/>
        <sz val="12"/>
        <color theme="1"/>
        <rFont val="Barlow"/>
        <charset val="134"/>
      </rPr>
      <t>facility-based</t>
    </r>
    <r>
      <rPr>
        <sz val="12"/>
        <color theme="1"/>
        <rFont val="Barlow"/>
        <charset val="134"/>
      </rPr>
      <t xml:space="preserve"> oral health care professional within a year</t>
    </r>
  </si>
  <si>
    <r>
      <rPr>
        <sz val="12"/>
        <color theme="1"/>
        <rFont val="Barlow"/>
        <charset val="134"/>
      </rPr>
      <t xml:space="preserve">4a. Adults 20-59 years old who had their 1st visit to a </t>
    </r>
    <r>
      <rPr>
        <b/>
        <sz val="12"/>
        <color theme="1"/>
        <rFont val="Barlow"/>
        <charset val="134"/>
      </rPr>
      <t>facility-based</t>
    </r>
    <r>
      <rPr>
        <sz val="12"/>
        <color theme="1"/>
        <rFont val="Barlow"/>
        <charset val="134"/>
      </rPr>
      <t xml:space="preserve"> oral health care professional within a year</t>
    </r>
  </si>
  <si>
    <r>
      <rPr>
        <sz val="12"/>
        <color theme="1"/>
        <rFont val="Barlow"/>
        <charset val="134"/>
      </rPr>
      <t xml:space="preserve">4b. Adults 20-59 years old who completed 2 visits to a </t>
    </r>
    <r>
      <rPr>
        <b/>
        <sz val="12"/>
        <color theme="1"/>
        <rFont val="Barlow"/>
        <charset val="134"/>
      </rPr>
      <t>non-facility-based</t>
    </r>
    <r>
      <rPr>
        <sz val="12"/>
        <color theme="1"/>
        <rFont val="Barlow"/>
        <charset val="134"/>
      </rPr>
      <t xml:space="preserve"> oral health care professional within a year</t>
    </r>
  </si>
  <si>
    <r>
      <rPr>
        <sz val="12"/>
        <color theme="1"/>
        <rFont val="Barlow"/>
        <charset val="134"/>
      </rPr>
      <t xml:space="preserve">4b. Adults 20-59 years old who had their 1st visit to a </t>
    </r>
    <r>
      <rPr>
        <b/>
        <sz val="12"/>
        <color theme="1"/>
        <rFont val="Barlow"/>
        <charset val="134"/>
      </rPr>
      <t>non-facility-based</t>
    </r>
    <r>
      <rPr>
        <sz val="12"/>
        <color theme="1"/>
        <rFont val="Barlow"/>
        <charset val="134"/>
      </rPr>
      <t xml:space="preserve"> oral health care professional within a year</t>
    </r>
  </si>
  <si>
    <t>5. Senior Citizens 60 years old and above who completed 2 visits to an oral health care professional within a year</t>
  </si>
  <si>
    <t>5. Senior Citizens 60 years old and above who had their 1st visit to an oral health care professional within a year</t>
  </si>
  <si>
    <r>
      <rPr>
        <sz val="12"/>
        <color theme="1"/>
        <rFont val="Barlow"/>
        <charset val="134"/>
      </rPr>
      <t xml:space="preserve">5a. Senior Citizens 60 years old and above who completed 2 visits to a </t>
    </r>
    <r>
      <rPr>
        <b/>
        <sz val="12"/>
        <color theme="1"/>
        <rFont val="Barlow"/>
        <charset val="134"/>
      </rPr>
      <t>facility-based</t>
    </r>
    <r>
      <rPr>
        <sz val="12"/>
        <color theme="1"/>
        <rFont val="Barlow"/>
        <charset val="134"/>
      </rPr>
      <t xml:space="preserve"> oral health care professional within a year</t>
    </r>
  </si>
  <si>
    <r>
      <rPr>
        <sz val="12"/>
        <color theme="1"/>
        <rFont val="Barlow"/>
        <charset val="134"/>
      </rPr>
      <t xml:space="preserve">5a. Senior Citizens 60 years old and above who had their 1st visit to a </t>
    </r>
    <r>
      <rPr>
        <b/>
        <sz val="12"/>
        <color theme="1"/>
        <rFont val="Barlow"/>
        <charset val="134"/>
      </rPr>
      <t>facility-based</t>
    </r>
    <r>
      <rPr>
        <sz val="12"/>
        <color theme="1"/>
        <rFont val="Barlow"/>
        <charset val="134"/>
      </rPr>
      <t xml:space="preserve"> oral health care professional within a year</t>
    </r>
  </si>
  <si>
    <r>
      <rPr>
        <sz val="12"/>
        <color theme="1"/>
        <rFont val="Barlow"/>
        <charset val="134"/>
      </rPr>
      <t xml:space="preserve">5b. Senior Citizens 60 years old and above who completed 2 visits to a </t>
    </r>
    <r>
      <rPr>
        <b/>
        <sz val="12"/>
        <color theme="1"/>
        <rFont val="Barlow"/>
        <charset val="134"/>
      </rPr>
      <t>non-facility-based</t>
    </r>
    <r>
      <rPr>
        <sz val="12"/>
        <color theme="1"/>
        <rFont val="Barlow"/>
        <charset val="134"/>
      </rPr>
      <t xml:space="preserve"> oral health care professional within a year</t>
    </r>
  </si>
  <si>
    <r>
      <rPr>
        <sz val="12"/>
        <color theme="1"/>
        <rFont val="Barlow"/>
        <charset val="134"/>
      </rPr>
      <t xml:space="preserve">5b. Senior Citizens 60 years old and above who had their 1st visit to a </t>
    </r>
    <r>
      <rPr>
        <b/>
        <sz val="12"/>
        <color theme="1"/>
        <rFont val="Barlow"/>
        <charset val="134"/>
      </rPr>
      <t>non-facility-based</t>
    </r>
    <r>
      <rPr>
        <sz val="12"/>
        <color theme="1"/>
        <rFont val="Barlow"/>
        <charset val="134"/>
      </rPr>
      <t xml:space="preserve"> oral health care professional within a year</t>
    </r>
  </si>
  <si>
    <t>6. Pregnant Women who had their 1st visit to an oral health care professional within a year</t>
  </si>
  <si>
    <t>6. Pregnant Women who completed 2 visits to an oral health care professional within a year</t>
  </si>
  <si>
    <t>6a. Pregnant Women who had their 1st visit to a facility-based oral health care professional within a year</t>
  </si>
  <si>
    <r>
      <rPr>
        <sz val="12"/>
        <color theme="1"/>
        <rFont val="Barlow"/>
        <charset val="134"/>
      </rPr>
      <t xml:space="preserve">6a. Pregnant Women who completed 2 visits to a </t>
    </r>
    <r>
      <rPr>
        <b/>
        <sz val="12"/>
        <color theme="1"/>
        <rFont val="Barlow"/>
        <charset val="134"/>
      </rPr>
      <t>facility-based</t>
    </r>
    <r>
      <rPr>
        <sz val="12"/>
        <color theme="1"/>
        <rFont val="Barlow"/>
        <charset val="134"/>
      </rPr>
      <t xml:space="preserve"> oral health care professional within a year</t>
    </r>
  </si>
  <si>
    <t>6b. Pregnant Women who had their 1st visit to a non-facility-based oral health care professional within a year</t>
  </si>
  <si>
    <r>
      <rPr>
        <sz val="12"/>
        <color theme="1"/>
        <rFont val="Barlow"/>
        <charset val="134"/>
      </rPr>
      <t xml:space="preserve">6b. Pregnant Women who completed 2 visits to a </t>
    </r>
    <r>
      <rPr>
        <b/>
        <sz val="12"/>
        <color theme="1"/>
        <rFont val="Barlow"/>
        <charset val="134"/>
      </rPr>
      <t>non-facility-based</t>
    </r>
    <r>
      <rPr>
        <sz val="12"/>
        <color theme="1"/>
        <rFont val="Barlow"/>
        <charset val="134"/>
      </rPr>
      <t xml:space="preserve"> oral health care professional within a year</t>
    </r>
  </si>
  <si>
    <t>SECTION E. NON-COMMUNICABLE DISEASES</t>
  </si>
  <si>
    <t>E1. Lifestyle Related</t>
  </si>
  <si>
    <r>
      <rPr>
        <sz val="12"/>
        <color theme="1"/>
        <rFont val="Barlow"/>
        <charset val="134"/>
      </rPr>
      <t>1. Adults</t>
    </r>
    <r>
      <rPr>
        <b/>
        <sz val="12"/>
        <color theme="1"/>
        <rFont val="Barlow"/>
        <charset val="134"/>
      </rPr>
      <t xml:space="preserve"> 20-59 years old</t>
    </r>
    <r>
      <rPr>
        <sz val="12"/>
        <color theme="1"/>
        <rFont val="Barlow"/>
        <charset val="134"/>
      </rPr>
      <t xml:space="preserve"> who were risk assessed using the PhilPEN protocol</t>
    </r>
  </si>
  <si>
    <t>greater than or equal to per vices (1a, 1b, 1c, 1d, 1e, and 1f)</t>
  </si>
  <si>
    <r>
      <rPr>
        <sz val="12"/>
        <color theme="1"/>
        <rFont val="Barlow"/>
        <charset val="134"/>
      </rPr>
      <t>2. Senior Citizens</t>
    </r>
    <r>
      <rPr>
        <b/>
        <sz val="12"/>
        <color theme="1"/>
        <rFont val="Barlow"/>
        <charset val="134"/>
      </rPr>
      <t xml:space="preserve"> 60 years old and above</t>
    </r>
    <r>
      <rPr>
        <sz val="12"/>
        <color theme="1"/>
        <rFont val="Barlow"/>
        <charset val="134"/>
      </rPr>
      <t xml:space="preserve"> who were risk assessed using the PhilPEN protocol</t>
    </r>
  </si>
  <si>
    <t>greater than or equal to per vices (2a, 2b, 2c, 2d, 2e, and 2f)</t>
  </si>
  <si>
    <t>1a. With history of smoking</t>
  </si>
  <si>
    <t>actual</t>
  </si>
  <si>
    <t>2a. With history of smoking</t>
  </si>
  <si>
    <t>1b. Binge Drinker</t>
  </si>
  <si>
    <t>2b. Binge Drinker</t>
  </si>
  <si>
    <t>1c. Insufficient physical activities</t>
  </si>
  <si>
    <t>2c. Insufficient physical activities</t>
  </si>
  <si>
    <t>1d. Consumed unhealthy diet</t>
  </si>
  <si>
    <t>2d. Consumed unhealthy diet</t>
  </si>
  <si>
    <t>1e. Overweight</t>
  </si>
  <si>
    <t>2e. Overweight</t>
  </si>
  <si>
    <t>1f. Obese</t>
  </si>
  <si>
    <t>2f. Obese</t>
  </si>
  <si>
    <t>E2. Cardiovascular Disease Prevention and Control (20-59 years old)</t>
  </si>
  <si>
    <t>E3. Diabetes Mellitus Prevention and Control</t>
  </si>
  <si>
    <t>1. Adults 20-59 years old who were identified as hypertensive using the PhilPEN protocol</t>
  </si>
  <si>
    <t>1. Adults 20-59 years old who were identified with Type II Diabetes using the PhilPEN protocol</t>
  </si>
  <si>
    <t>2. Hypertensives 20-59 years old provided with antihypertensive medications</t>
  </si>
  <si>
    <t>2. Type II Diabetics 20-59 years old provided with antidiabetic medications</t>
  </si>
  <si>
    <t>2a. Provided by facility (100%)</t>
  </si>
  <si>
    <t>2b. Out of pocket</t>
  </si>
  <si>
    <t>3. Senior Citizens 60 years old and above who were identified as hypertensive using the PhilPEN protocol</t>
  </si>
  <si>
    <t>3. Senior Citizens 60 years old and above who were identified with Type II Diabetes using the PhilPEN protocol</t>
  </si>
  <si>
    <t>4. Hypertensives 60 years old and above provided with antihypertensive medications</t>
  </si>
  <si>
    <t>4. Type II Diabetics 60 years old and above provided with antidiabetic medications</t>
  </si>
  <si>
    <t>4a. Provided by facility (100%)</t>
  </si>
  <si>
    <t>4b. Out of pocket</t>
  </si>
  <si>
    <t>E4. Blindness Prevention Program</t>
  </si>
  <si>
    <t>E5. Immunization for Senior Citizens</t>
  </si>
  <si>
    <r>
      <rPr>
        <sz val="12"/>
        <color theme="1"/>
        <rFont val="Barlow"/>
        <charset val="134"/>
      </rPr>
      <t xml:space="preserve">1. Senior citizens aged 60 years old and above </t>
    </r>
    <r>
      <rPr>
        <b/>
        <sz val="12"/>
        <color theme="1"/>
        <rFont val="Barlow"/>
        <charset val="134"/>
      </rPr>
      <t>screened for visual acuity</t>
    </r>
  </si>
  <si>
    <t>greater than or equal to identified with eye disease/s</t>
  </si>
  <si>
    <r>
      <rPr>
        <sz val="12"/>
        <color theme="1"/>
        <rFont val="Barlow"/>
        <charset val="134"/>
      </rPr>
      <t xml:space="preserve">1. Senior Citizens Seen who had </t>
    </r>
    <r>
      <rPr>
        <b/>
        <sz val="12"/>
        <color theme="1"/>
        <rFont val="Barlow"/>
        <charset val="134"/>
      </rPr>
      <t>not previously received PPV</t>
    </r>
    <r>
      <rPr>
        <sz val="12"/>
        <color theme="1"/>
        <rFont val="Barlow"/>
        <charset val="134"/>
      </rPr>
      <t xml:space="preserve"> upon reaching 60 years old</t>
    </r>
  </si>
  <si>
    <t>greater than or equal to senior citizens aged 60 year old and above who received one (10 dose of Pneumococcal Polysaccharide vaccine</t>
  </si>
  <si>
    <r>
      <rPr>
        <sz val="12"/>
        <color theme="1"/>
        <rFont val="Barlow"/>
        <charset val="134"/>
      </rPr>
      <t>2. Senior citizens aged 60 years old and above screened for visual acuity and</t>
    </r>
    <r>
      <rPr>
        <b/>
        <sz val="12"/>
        <color theme="1"/>
        <rFont val="Barlow"/>
        <charset val="134"/>
      </rPr>
      <t xml:space="preserve"> identified with eye disease/s</t>
    </r>
  </si>
  <si>
    <t>greater than or equal to with eye disease/s and referred to eye care professionals</t>
  </si>
  <si>
    <r>
      <rPr>
        <sz val="12"/>
        <color theme="1"/>
        <rFont val="Barlow"/>
        <charset val="134"/>
      </rPr>
      <t xml:space="preserve">2. Senior citizens aged 60 years old and above </t>
    </r>
    <r>
      <rPr>
        <b/>
        <sz val="12"/>
        <color theme="1"/>
        <rFont val="Barlow"/>
        <charset val="134"/>
      </rPr>
      <t>who received one (1) dose of Pneumococcal Polysaccharide Vaccine</t>
    </r>
  </si>
  <si>
    <r>
      <rPr>
        <sz val="12"/>
        <color theme="1"/>
        <rFont val="Barlow"/>
        <charset val="134"/>
      </rPr>
      <t xml:space="preserve">3. Senior citizens identified </t>
    </r>
    <r>
      <rPr>
        <b/>
        <sz val="12"/>
        <color theme="1"/>
        <rFont val="Barlow"/>
        <charset val="134"/>
      </rPr>
      <t>with eye disease/s</t>
    </r>
    <r>
      <rPr>
        <sz val="12"/>
        <color theme="1"/>
        <rFont val="Barlow"/>
        <charset val="134"/>
      </rPr>
      <t xml:space="preserve"> and </t>
    </r>
    <r>
      <rPr>
        <b/>
        <sz val="12"/>
        <color theme="1"/>
        <rFont val="Barlow"/>
        <charset val="134"/>
      </rPr>
      <t>referred to eye care professionals</t>
    </r>
  </si>
  <si>
    <r>
      <rPr>
        <sz val="12"/>
        <color theme="1"/>
        <rFont val="Barlow"/>
        <charset val="134"/>
      </rPr>
      <t xml:space="preserve">3. Senior Citizens </t>
    </r>
    <r>
      <rPr>
        <b/>
        <sz val="12"/>
        <color theme="1"/>
        <rFont val="Barlow"/>
        <charset val="134"/>
      </rPr>
      <t>Seen</t>
    </r>
  </si>
  <si>
    <t>greater than or equal to senior citizens aged 60 yeas old and above who received one (1) dose of influenza vaccine</t>
  </si>
  <si>
    <r>
      <rPr>
        <sz val="12"/>
        <color theme="1"/>
        <rFont val="Barlow"/>
        <charset val="134"/>
      </rPr>
      <t xml:space="preserve">4. Senior citizens aged 60 years old and above </t>
    </r>
    <r>
      <rPr>
        <b/>
        <sz val="12"/>
        <color theme="1"/>
        <rFont val="Barlow"/>
        <charset val="134"/>
      </rPr>
      <t>who received one (1) dose of Influenza Vaccine</t>
    </r>
  </si>
  <si>
    <t>E6. Cervical Cancer Prevention and Control Services</t>
  </si>
  <si>
    <t>E7. Breast Cancer Prevention and Control Services</t>
  </si>
  <si>
    <r>
      <rPr>
        <sz val="12"/>
        <color theme="1"/>
        <rFont val="Barlow"/>
        <charset val="134"/>
      </rPr>
      <t xml:space="preserve">1. Women aged 30-65 years old screened or </t>
    </r>
    <r>
      <rPr>
        <b/>
        <sz val="12"/>
        <color theme="1"/>
        <rFont val="Barlow"/>
        <charset val="134"/>
      </rPr>
      <t>assessed for cervical cancer</t>
    </r>
  </si>
  <si>
    <r>
      <rPr>
        <sz val="12"/>
        <color theme="1"/>
        <rFont val="Barlow"/>
        <charset val="134"/>
      </rPr>
      <t xml:space="preserve">1. High-risk asymptomatic or symptomatic women aged 30-69 years old provided with </t>
    </r>
    <r>
      <rPr>
        <b/>
        <sz val="12"/>
        <color theme="1"/>
        <rFont val="Barlow"/>
        <charset val="134"/>
      </rPr>
      <t>Breast Cancer Early Detection Services</t>
    </r>
  </si>
  <si>
    <t>1a. VIA</t>
  </si>
  <si>
    <t>1a. Clinical Breast Examination</t>
  </si>
  <si>
    <t>2a. PapSmear</t>
  </si>
  <si>
    <t>1b. Mammogram</t>
  </si>
  <si>
    <t>3a. HPV DNA</t>
  </si>
  <si>
    <r>
      <rPr>
        <sz val="12"/>
        <color theme="1"/>
        <rFont val="Barlow"/>
        <charset val="134"/>
      </rPr>
      <t>2. High-risk asymptomatic or symptomatic women aged 30-69 years old found with</t>
    </r>
    <r>
      <rPr>
        <b/>
        <sz val="12"/>
        <color theme="1"/>
        <rFont val="Barlow"/>
        <charset val="134"/>
      </rPr>
      <t xml:space="preserve"> remarkable or significant results</t>
    </r>
  </si>
  <si>
    <t>4a. Assessed Only</t>
  </si>
  <si>
    <t>must also report to found suspicious for cervical cancer</t>
  </si>
  <si>
    <t>2a. Clinical Breast Examination</t>
  </si>
  <si>
    <r>
      <rPr>
        <sz val="12"/>
        <color theme="1"/>
        <rFont val="Barlow"/>
        <charset val="134"/>
      </rPr>
      <t xml:space="preserve">2. Women aged 30-65 years old found </t>
    </r>
    <r>
      <rPr>
        <b/>
        <sz val="12"/>
        <color theme="1"/>
        <rFont val="Barlow"/>
        <charset val="134"/>
      </rPr>
      <t>suspicious for cervical cancer</t>
    </r>
  </si>
  <si>
    <t>2b. Mammogram</t>
  </si>
  <si>
    <r>
      <rPr>
        <sz val="12"/>
        <color theme="1"/>
        <rFont val="Barlow"/>
        <charset val="134"/>
      </rPr>
      <t xml:space="preserve">3. Women aged 30-65 years old found </t>
    </r>
    <r>
      <rPr>
        <b/>
        <sz val="12"/>
        <color theme="1"/>
        <rFont val="Barlow"/>
        <charset val="134"/>
      </rPr>
      <t>suspicious for cervical cancer and linked to care</t>
    </r>
  </si>
  <si>
    <r>
      <rPr>
        <sz val="12"/>
        <color theme="1"/>
        <rFont val="Barlow"/>
        <charset val="134"/>
      </rPr>
      <t>3. High-risk asymptomatic or symptomatic women aged 30-69 years old found with</t>
    </r>
    <r>
      <rPr>
        <b/>
        <sz val="12"/>
        <color theme="1"/>
        <rFont val="Barlow"/>
        <charset val="134"/>
      </rPr>
      <t xml:space="preserve"> remarkable results and linked to care</t>
    </r>
  </si>
  <si>
    <t>3a. Treated</t>
  </si>
  <si>
    <r>
      <rPr>
        <sz val="12"/>
        <color theme="1"/>
        <rFont val="Barlow"/>
        <charset val="134"/>
      </rPr>
      <t xml:space="preserve">4. Asymptomatic women aged 50-69 years old </t>
    </r>
    <r>
      <rPr>
        <b/>
        <sz val="12"/>
        <color theme="1"/>
        <rFont val="Barlow"/>
        <charset val="134"/>
      </rPr>
      <t>screened for breast cancer</t>
    </r>
  </si>
  <si>
    <t>3b. Referred</t>
  </si>
  <si>
    <t>4a. Clinical Breast Examination</t>
  </si>
  <si>
    <r>
      <rPr>
        <sz val="12"/>
        <color theme="1"/>
        <rFont val="Barlow"/>
        <charset val="134"/>
      </rPr>
      <t xml:space="preserve">4. Women aged 30-65 years old found </t>
    </r>
    <r>
      <rPr>
        <b/>
        <sz val="12"/>
        <color theme="1"/>
        <rFont val="Barlow"/>
        <charset val="134"/>
      </rPr>
      <t>positive for precancerous lesions</t>
    </r>
  </si>
  <si>
    <t>4b. Mammogram</t>
  </si>
  <si>
    <r>
      <rPr>
        <sz val="12"/>
        <color theme="1"/>
        <rFont val="Barlow"/>
        <charset val="134"/>
      </rPr>
      <t xml:space="preserve">5. Women aged 30-65 years old found positive for </t>
    </r>
    <r>
      <rPr>
        <b/>
        <sz val="12"/>
        <color theme="1"/>
        <rFont val="Barlow"/>
        <charset val="134"/>
      </rPr>
      <t>precancerous lesions and linked to care</t>
    </r>
  </si>
  <si>
    <r>
      <rPr>
        <sz val="12"/>
        <color theme="1"/>
        <rFont val="Barlow"/>
        <charset val="134"/>
      </rPr>
      <t xml:space="preserve">5. Asymptomatic women aged 50-69 years old screened for </t>
    </r>
    <r>
      <rPr>
        <b/>
        <sz val="12"/>
        <color theme="1"/>
        <rFont val="Barlow"/>
        <charset val="134"/>
      </rPr>
      <t>breast cancer</t>
    </r>
    <r>
      <rPr>
        <sz val="12"/>
        <color theme="1"/>
        <rFont val="Barlow"/>
        <charset val="134"/>
      </rPr>
      <t xml:space="preserve"> and found with </t>
    </r>
    <r>
      <rPr>
        <b/>
        <sz val="12"/>
        <color theme="1"/>
        <rFont val="Barlow"/>
        <charset val="134"/>
      </rPr>
      <t>remarkable or significant results</t>
    </r>
  </si>
  <si>
    <t>5a. Treated</t>
  </si>
  <si>
    <t>5a. Clinical Breast Examination</t>
  </si>
  <si>
    <t>5b. Referred</t>
  </si>
  <si>
    <t>5b. Mammogram</t>
  </si>
  <si>
    <r>
      <rPr>
        <sz val="12"/>
        <color theme="1"/>
        <rFont val="Barlow"/>
        <charset val="134"/>
      </rPr>
      <t xml:space="preserve">6. Asymptomatic women aged 50-69 years old screened for </t>
    </r>
    <r>
      <rPr>
        <b/>
        <sz val="12"/>
        <color theme="1"/>
        <rFont val="Barlow"/>
        <charset val="134"/>
      </rPr>
      <t>breast cancer</t>
    </r>
    <r>
      <rPr>
        <sz val="12"/>
        <color theme="1"/>
        <rFont val="Barlow"/>
        <charset val="134"/>
      </rPr>
      <t xml:space="preserve"> and found with </t>
    </r>
    <r>
      <rPr>
        <b/>
        <sz val="12"/>
        <color theme="1"/>
        <rFont val="Barlow"/>
        <charset val="134"/>
      </rPr>
      <t>remarkable or significant results and linked to care</t>
    </r>
  </si>
  <si>
    <t>Age Groups (in years)</t>
  </si>
  <si>
    <t>0-9</t>
  </si>
  <si>
    <t>20-59</t>
  </si>
  <si>
    <t>60 and above</t>
  </si>
  <si>
    <t>E8. Mental Health</t>
  </si>
  <si>
    <r>
      <rPr>
        <sz val="12"/>
        <color theme="1"/>
        <rFont val="Barlow"/>
        <charset val="134"/>
      </rPr>
      <t>1. Individuals with mental health concern screened using the</t>
    </r>
    <r>
      <rPr>
        <b/>
        <sz val="12"/>
        <color theme="1"/>
        <rFont val="Barlow"/>
        <charset val="134"/>
      </rPr>
      <t xml:space="preserve"> Mental Health Gap Action Programme (mhGAP)</t>
    </r>
  </si>
  <si>
    <t>SECTION F. ENVIRONMENTAL HEALTH AND SANITATION</t>
  </si>
  <si>
    <t>G1. Water</t>
  </si>
  <si>
    <t>G1. Sanitation</t>
  </si>
  <si>
    <t>1. Households (HHs) with access to improved water supply - Total</t>
  </si>
  <si>
    <r>
      <rPr>
        <sz val="12"/>
        <color theme="1"/>
        <rFont val="Barlow"/>
        <charset val="134"/>
      </rPr>
      <t xml:space="preserve">1. HH with </t>
    </r>
    <r>
      <rPr>
        <b/>
        <sz val="12"/>
        <color theme="1"/>
        <rFont val="Barlow"/>
        <charset val="134"/>
      </rPr>
      <t>basic sanitation</t>
    </r>
    <r>
      <rPr>
        <sz val="12"/>
        <color theme="1"/>
        <rFont val="Barlow"/>
        <charset val="134"/>
      </rPr>
      <t xml:space="preserve"> facility - Total</t>
    </r>
  </si>
  <si>
    <t xml:space="preserve">1a. HH with Level I </t>
  </si>
  <si>
    <r>
      <rPr>
        <sz val="12"/>
        <color theme="1"/>
        <rFont val="Barlow"/>
        <charset val="134"/>
      </rPr>
      <t xml:space="preserve">1a. HH with pour/flush toilet connected to a </t>
    </r>
    <r>
      <rPr>
        <b/>
        <sz val="12"/>
        <color theme="1"/>
        <rFont val="Barlow"/>
        <charset val="134"/>
      </rPr>
      <t>septic tank</t>
    </r>
  </si>
  <si>
    <t>1b. HH with Level II</t>
  </si>
  <si>
    <r>
      <rPr>
        <sz val="12"/>
        <color theme="1"/>
        <rFont val="Barlow"/>
        <charset val="134"/>
      </rPr>
      <t xml:space="preserve">1b. HHs with pour/flush toilet connected to </t>
    </r>
    <r>
      <rPr>
        <b/>
        <sz val="12"/>
        <color theme="1"/>
        <rFont val="Barlow"/>
        <charset val="134"/>
      </rPr>
      <t>community sewer/sewerage system or any other approved treatment system</t>
    </r>
  </si>
  <si>
    <t>1c. HH with Level III</t>
  </si>
  <si>
    <r>
      <rPr>
        <sz val="12"/>
        <color theme="1"/>
        <rFont val="Barlow"/>
        <charset val="134"/>
      </rPr>
      <t xml:space="preserve">1c. HH with </t>
    </r>
    <r>
      <rPr>
        <b/>
        <sz val="12"/>
        <color theme="1"/>
        <rFont val="Barlow"/>
        <charset val="134"/>
      </rPr>
      <t>Ventilated Improved Pit (VIP) Latrine</t>
    </r>
  </si>
  <si>
    <r>
      <rPr>
        <sz val="12"/>
        <color theme="1"/>
        <rFont val="Barlow"/>
        <charset val="134"/>
      </rPr>
      <t xml:space="preserve">2. HH using </t>
    </r>
    <r>
      <rPr>
        <b/>
        <sz val="12"/>
        <color theme="1"/>
        <rFont val="Barlow"/>
        <charset val="134"/>
      </rPr>
      <t>safely managed drinking</t>
    </r>
    <r>
      <rPr>
        <sz val="12"/>
        <color theme="1"/>
        <rFont val="Barlow"/>
        <charset val="134"/>
      </rPr>
      <t xml:space="preserve"> water service</t>
    </r>
  </si>
  <si>
    <t>BSWS Level + Level III ≥ SMDWS
Communal (Level II) is considered not qualified to be a safely</t>
  </si>
  <si>
    <r>
      <rPr>
        <sz val="12"/>
        <color theme="1"/>
        <rFont val="Barlow"/>
        <charset val="134"/>
      </rPr>
      <t>2. HH using</t>
    </r>
    <r>
      <rPr>
        <b/>
        <sz val="12"/>
        <color theme="1"/>
        <rFont val="Barlow"/>
        <charset val="134"/>
      </rPr>
      <t xml:space="preserve"> safely managed</t>
    </r>
    <r>
      <rPr>
        <sz val="12"/>
        <color theme="1"/>
        <rFont val="Barlow"/>
        <charset val="134"/>
      </rPr>
      <t xml:space="preserve"> sanitation service</t>
    </r>
  </si>
  <si>
    <t>Only septic tank constructed within the last 5 years should be 
reported under this indicator</t>
  </si>
  <si>
    <t>SECTION G. INFECTIOUS DISEASE PREVENTION AND CONTROL SERVICES</t>
  </si>
  <si>
    <t>A. Filariasis</t>
  </si>
  <si>
    <t>1. No. of individuals EXAMINED for lymphatic filariasis</t>
  </si>
  <si>
    <t>5. No. of individuals who received 1 dose of TDT</t>
  </si>
  <si>
    <t>2. No. of individuals examined and found POSITIVE for lymphatic filariasis</t>
  </si>
  <si>
    <t xml:space="preserve">   a. 1-4 years old</t>
  </si>
  <si>
    <t>3. No. of individuals examined with lymphedema and/or elephantiasis</t>
  </si>
  <si>
    <t xml:space="preserve">   b. 5-14 years old</t>
  </si>
  <si>
    <t>4. No. of individuals examined with hydrocele</t>
  </si>
  <si>
    <t xml:space="preserve">   c. 15 years old &amp; above</t>
  </si>
  <si>
    <t>B. Rabies</t>
  </si>
  <si>
    <t>1. Category I</t>
  </si>
  <si>
    <t>6. No. of Category III rabies exposure who received COMPLETE DOSES of anti-rabies vaccines</t>
  </si>
  <si>
    <t xml:space="preserve">   a. ABTC/ABC</t>
  </si>
  <si>
    <t xml:space="preserve">   b. Non-ABTC/ABC</t>
  </si>
  <si>
    <t>2. Category II</t>
  </si>
  <si>
    <t>7. No. of Category III rabies exposure who RECEIVED SINGLE dose of rabies immunoglobulin</t>
  </si>
  <si>
    <t>3. Category III</t>
  </si>
  <si>
    <t>8. No. of rabies exposure from dogs</t>
  </si>
  <si>
    <t>4. No. of rabies exposure (ALL CATEGORIES)</t>
  </si>
  <si>
    <t>9. No. of rabies exposure from cats</t>
  </si>
  <si>
    <t>5. No. of Category II rabies exposure who received COMPLETE DOSES of anti-rabies vaccines</t>
  </si>
  <si>
    <t>C. Schistosomiasis</t>
  </si>
  <si>
    <t>1. No. of patients seen</t>
  </si>
  <si>
    <t>SHOULD BE GREATER THAN OR EQUAL TO SUSPECTED</t>
  </si>
  <si>
    <t>5. TOTAL No. of CRONIC CLINICALLY DIAGNOSED CASES</t>
  </si>
  <si>
    <t>SHOULD BE GREATER THAN OR EQUAL TO
 CHRONIC CONFIRMED CASE POSITIVE BY 
STOOL EXAM</t>
  </si>
  <si>
    <t xml:space="preserve">   a. 5-14 years old</t>
  </si>
  <si>
    <t xml:space="preserve">   b. 15-19 years old</t>
  </si>
  <si>
    <t xml:space="preserve">   c. 20-59 years old</t>
  </si>
  <si>
    <t xml:space="preserve">   d. 60 years old &amp; above</t>
  </si>
  <si>
    <t>2. No. of SUSPECTED CASES seen</t>
  </si>
  <si>
    <t>SHOULD BE GREATER THAN OR EQUAL TO ACUTE AND CHRONIC CLINICALLY DIAGNOSED CASES</t>
  </si>
  <si>
    <t>6. No. of confirmed NON-COMPLICATED cases CURED</t>
  </si>
  <si>
    <t>3. No. of SUSPECTED cases TREATED</t>
  </si>
  <si>
    <t>7.NUMBER OF CHRONIC CLINICALLY 
DIAGNOSED CASES TREATED IN THE HEALTH
 FACILITY AMONG ACUTE AND CHRONIC 
CASE</t>
  </si>
  <si>
    <t>CASES TREATED: refers to cases whether acute or
 chronic that were treated per month for 2 months in
 the health facility</t>
  </si>
  <si>
    <t>4. No. of CONFIRMED cases</t>
  </si>
  <si>
    <t>8. Total No. of confirmed cases with ≥400 Schistosoma eggs per gram of stool</t>
  </si>
  <si>
    <t xml:space="preserve">   a. Complicated cases</t>
  </si>
  <si>
    <t xml:space="preserve">      a1. 5-14 years old</t>
  </si>
  <si>
    <t xml:space="preserve">      a2. 15-19 years old</t>
  </si>
  <si>
    <t xml:space="preserve">      a3. 20-59 years old</t>
  </si>
  <si>
    <t>D. Soil-Transmitted Helminthiasis</t>
  </si>
  <si>
    <t>1. 12-59 months old who completed 2 doses of deworming tablet</t>
  </si>
  <si>
    <t xml:space="preserve">4. WRA 20-49 years old who completed 2 doses of deworming tablet </t>
  </si>
  <si>
    <t>2. 5-9 years old who completed 2 doses of deworming tablet</t>
  </si>
  <si>
    <t>5. pregnant women who completed 2 doses of deworming tablet</t>
  </si>
  <si>
    <t>3. 10-19 years old who completed 2 doses of deworming tablet</t>
  </si>
  <si>
    <t>9. Adolescents (15-19 years old) who were dewormed during the Round 2 (July to December) of the calendar year</t>
  </si>
  <si>
    <t>E. Leprosy</t>
  </si>
  <si>
    <t>1. No. of leprosy old and new cases registered during reporting period</t>
  </si>
  <si>
    <t>2. No. of NEWLY detected cases during reporting period</t>
  </si>
  <si>
    <t xml:space="preserve">    a. 0-4 years old</t>
  </si>
  <si>
    <t xml:space="preserve">    b. 5-14 years old</t>
  </si>
  <si>
    <t xml:space="preserve">    c. 15 years old &amp; above</t>
  </si>
  <si>
    <t>F. HIV-AIDS/STI</t>
  </si>
  <si>
    <t>1. No. of pregnant women screened for syphilis</t>
  </si>
  <si>
    <t>3. No. of pregnant women screened for HIV</t>
  </si>
  <si>
    <t xml:space="preserve">2. No. of pregnant women tested positive for syphilis </t>
  </si>
  <si>
    <t>4. No. of pregnant women screened reactive for HIV</t>
  </si>
  <si>
    <t>SECTION C. VITAL STATISTICS</t>
  </si>
  <si>
    <t>Part I. Mortality</t>
  </si>
  <si>
    <t>Part II. Natality</t>
  </si>
  <si>
    <t>1. Maternal Mortality - Total</t>
  </si>
  <si>
    <t>1. Live births (all ages)</t>
  </si>
  <si>
    <t>SHOULD BE EQUAL TO THE TOTAL OF LIVEBIRTHS IN INTRA-PARTUM</t>
  </si>
  <si>
    <t>a. Direct</t>
  </si>
  <si>
    <t>2. Adolescent Birth Rate (ABR)</t>
  </si>
  <si>
    <t>a1. Resident</t>
  </si>
  <si>
    <t>a. &lt;10 years old</t>
  </si>
  <si>
    <t>a2. Non-Resident</t>
  </si>
  <si>
    <t>b. 10-14 years old</t>
  </si>
  <si>
    <t>b. Indirect</t>
  </si>
  <si>
    <t>c. 15-19 years old</t>
  </si>
  <si>
    <t>b1. Resident</t>
  </si>
  <si>
    <t>b2. Non-Resident</t>
  </si>
  <si>
    <t>2. Total Deaths</t>
  </si>
  <si>
    <t>3. Under-five Deaths-Total</t>
  </si>
  <si>
    <t>4. Infant Deaths-Total</t>
  </si>
  <si>
    <t>5. Neonatal Deaths-Total</t>
  </si>
  <si>
    <t>6. Perinatal Deaths-Total</t>
  </si>
  <si>
    <t>7. Fetal Deaths-Total</t>
  </si>
  <si>
    <t>8. Early Neonatal Deaths-Total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</si>
</sst>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\-d"/>
  </numFmts>
  <fonts count="38">
    <font>
      <sz val="10"/>
      <color rgb="FF000000"/>
      <name val="Calibri"/>
      <charset val="134"/>
      <scheme val="minor"/>
    </font>
    <font>
      <sz val="12"/>
      <color rgb="FF000000"/>
      <name val="Barlow"/>
      <charset val="134"/>
    </font>
    <font>
      <b/>
      <sz val="12"/>
      <color rgb="FF000000"/>
      <name val="Barlow"/>
      <charset val="134"/>
    </font>
    <font>
      <sz val="12"/>
      <color theme="1"/>
      <name val="Barlow"/>
      <charset val="134"/>
    </font>
    <font>
      <b/>
      <sz val="12"/>
      <color theme="1"/>
      <name val="Barlow"/>
      <charset val="134"/>
    </font>
    <font>
      <b/>
      <sz val="12"/>
      <color rgb="FFFFFFFF"/>
      <name val="Barlow"/>
      <charset val="134"/>
    </font>
    <font>
      <sz val="12"/>
      <name val="Barlow"/>
      <charset val="134"/>
    </font>
    <font>
      <b/>
      <sz val="12"/>
      <color theme="0"/>
      <name val="Barlow"/>
      <charset val="134"/>
    </font>
    <font>
      <b/>
      <sz val="12"/>
      <name val="Barlow"/>
      <charset val="134"/>
    </font>
    <font>
      <b/>
      <sz val="9"/>
      <color theme="1"/>
      <name val="Barlow"/>
      <charset val="134"/>
    </font>
    <font>
      <b/>
      <sz val="48"/>
      <color theme="1"/>
      <name val="Barlow"/>
      <charset val="134"/>
    </font>
    <font>
      <sz val="48"/>
      <color rgb="FF000000"/>
      <name val="Barlow"/>
      <charset val="134"/>
    </font>
    <font>
      <sz val="9"/>
      <color theme="1"/>
      <name val="Barlow"/>
      <charset val="134"/>
    </font>
    <font>
      <sz val="10"/>
      <color theme="1"/>
      <name val="Barlow"/>
      <charset val="134"/>
    </font>
    <font>
      <sz val="6"/>
      <color theme="1"/>
      <name val="Barlow"/>
      <charset val="134"/>
    </font>
    <font>
      <sz val="11"/>
      <color theme="1"/>
      <name val="Barl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Barlow"/>
      <charset val="134"/>
    </font>
    <font>
      <sz val="12"/>
      <color rgb="FFFFFFFF"/>
      <name val="Barlow"/>
      <charset val="134"/>
    </font>
  </fonts>
  <fills count="5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73763"/>
        <bgColor rgb="FF073763"/>
      </patternFill>
    </fill>
    <fill>
      <patternFill patternType="solid">
        <fgColor theme="9" tint="0.79985961485641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0499893185216834"/>
        <bgColor indexed="64"/>
      </patternFill>
    </fill>
    <fill>
      <patternFill patternType="solid">
        <fgColor rgb="FF999999"/>
        <bgColor rgb="FF999999"/>
      </patternFill>
    </fill>
    <fill>
      <patternFill patternType="solid">
        <fgColor theme="7" tint="0.8"/>
        <bgColor rgb="FFD9D9D9"/>
      </patternFill>
    </fill>
    <fill>
      <patternFill patternType="solid">
        <fgColor theme="7" tint="0.8"/>
        <bgColor indexed="64"/>
      </patternFill>
    </fill>
    <fill>
      <patternFill patternType="solid">
        <fgColor theme="2" tint="-0.1498764000366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theme="1"/>
        <bgColor rgb="FF7F7F7F"/>
      </patternFill>
    </fill>
    <fill>
      <patternFill patternType="solid">
        <fgColor theme="1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0" tint="-0.149876400036622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rgb="FFFFFFFF"/>
      </bottom>
      <diagonal/>
    </border>
    <border>
      <left/>
      <right style="thin">
        <color auto="1"/>
      </right>
      <top style="thin">
        <color rgb="FFFFFFFF"/>
      </top>
      <bottom style="thin">
        <color rgb="FFFFFFFF"/>
      </bottom>
      <diagonal/>
    </border>
    <border>
      <left/>
      <right style="thin">
        <color auto="1"/>
      </right>
      <top style="thin">
        <color rgb="FFFFFFFF"/>
      </top>
      <bottom/>
      <diagonal/>
    </border>
    <border>
      <left style="thin">
        <color rgb="FFFFFFFF"/>
      </left>
      <right style="thin">
        <color auto="1"/>
      </right>
      <top style="thin">
        <color rgb="FFFFFFFF"/>
      </top>
      <bottom/>
      <diagonal/>
    </border>
    <border>
      <left style="thin">
        <color rgb="FFFFFFFF"/>
      </left>
      <right style="thin">
        <color auto="1"/>
      </right>
      <top/>
      <bottom style="thin">
        <color rgb="FFFFFFFF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rgb="FF000000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23" borderId="7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2" applyNumberFormat="0" applyFill="0" applyAlignment="0" applyProtection="0">
      <alignment vertical="center"/>
    </xf>
    <xf numFmtId="0" fontId="23" fillId="0" borderId="72" applyNumberFormat="0" applyFill="0" applyAlignment="0" applyProtection="0">
      <alignment vertical="center"/>
    </xf>
    <xf numFmtId="0" fontId="24" fillId="0" borderId="7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4" borderId="74" applyNumberFormat="0" applyAlignment="0" applyProtection="0">
      <alignment vertical="center"/>
    </xf>
    <xf numFmtId="0" fontId="26" fillId="25" borderId="75" applyNumberFormat="0" applyAlignment="0" applyProtection="0">
      <alignment vertical="center"/>
    </xf>
    <xf numFmtId="0" fontId="27" fillId="25" borderId="74" applyNumberFormat="0" applyAlignment="0" applyProtection="0">
      <alignment vertical="center"/>
    </xf>
    <xf numFmtId="0" fontId="28" fillId="26" borderId="76" applyNumberFormat="0" applyAlignment="0" applyProtection="0">
      <alignment vertical="center"/>
    </xf>
    <xf numFmtId="0" fontId="29" fillId="0" borderId="77" applyNumberFormat="0" applyFill="0" applyAlignment="0" applyProtection="0">
      <alignment vertical="center"/>
    </xf>
    <xf numFmtId="0" fontId="30" fillId="0" borderId="78" applyNumberFormat="0" applyFill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</cellStyleXfs>
  <cellXfs count="299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7" fillId="4" borderId="6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6" fillId="0" borderId="8" xfId="0" applyFont="1" applyBorder="1"/>
    <xf numFmtId="0" fontId="7" fillId="4" borderId="4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3" fillId="0" borderId="13" xfId="0" applyFont="1" applyBorder="1" applyAlignment="1">
      <alignment vertical="center" wrapText="1"/>
    </xf>
    <xf numFmtId="0" fontId="6" fillId="0" borderId="14" xfId="0" applyFont="1" applyBorder="1"/>
    <xf numFmtId="0" fontId="4" fillId="5" borderId="1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8" fillId="5" borderId="14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4" fillId="0" borderId="18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vertical="center" wrapText="1"/>
    </xf>
    <xf numFmtId="0" fontId="4" fillId="7" borderId="19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vertical="center"/>
    </xf>
    <xf numFmtId="0" fontId="4" fillId="7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vertical="center" wrapText="1"/>
    </xf>
    <xf numFmtId="0" fontId="4" fillId="8" borderId="18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0" borderId="17" xfId="0" applyFont="1" applyBorder="1"/>
    <xf numFmtId="0" fontId="5" fillId="4" borderId="21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vertical="center" wrapText="1"/>
    </xf>
    <xf numFmtId="0" fontId="6" fillId="0" borderId="23" xfId="0" applyFont="1" applyBorder="1"/>
    <xf numFmtId="0" fontId="3" fillId="0" borderId="19" xfId="0" applyFont="1" applyBorder="1" applyAlignment="1">
      <alignment vertical="center" wrapText="1"/>
    </xf>
    <xf numFmtId="0" fontId="4" fillId="6" borderId="19" xfId="0" applyFont="1" applyFill="1" applyBorder="1" applyAlignment="1">
      <alignment horizontal="center" vertical="center"/>
    </xf>
    <xf numFmtId="0" fontId="8" fillId="0" borderId="24" xfId="0" applyFont="1" applyBorder="1"/>
    <xf numFmtId="0" fontId="3" fillId="0" borderId="19" xfId="0" applyFont="1" applyBorder="1" applyAlignment="1">
      <alignment vertical="center"/>
    </xf>
    <xf numFmtId="0" fontId="6" fillId="0" borderId="20" xfId="0" applyFont="1" applyBorder="1"/>
    <xf numFmtId="0" fontId="3" fillId="6" borderId="19" xfId="0" applyFont="1" applyFill="1" applyBorder="1" applyAlignment="1">
      <alignment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6" fillId="0" borderId="24" xfId="0" applyFont="1" applyBorder="1"/>
    <xf numFmtId="0" fontId="3" fillId="0" borderId="18" xfId="0" applyFont="1" applyBorder="1" applyAlignment="1">
      <alignment vertical="center" wrapText="1"/>
    </xf>
    <xf numFmtId="0" fontId="9" fillId="10" borderId="19" xfId="0" applyNumberFormat="1" applyFont="1" applyFill="1" applyBorder="1" applyAlignment="1">
      <alignment horizontal="center" vertical="center"/>
    </xf>
    <xf numFmtId="0" fontId="6" fillId="11" borderId="24" xfId="0" applyFont="1" applyFill="1" applyBorder="1"/>
    <xf numFmtId="0" fontId="3" fillId="3" borderId="18" xfId="0" applyFont="1" applyFill="1" applyBorder="1" applyAlignment="1">
      <alignment vertical="center" wrapText="1"/>
    </xf>
    <xf numFmtId="0" fontId="3" fillId="11" borderId="18" xfId="0" applyFont="1" applyFill="1" applyBorder="1" applyAlignment="1">
      <alignment vertical="center" wrapText="1"/>
    </xf>
    <xf numFmtId="0" fontId="4" fillId="11" borderId="18" xfId="0" applyFont="1" applyFill="1" applyBorder="1" applyAlignment="1">
      <alignment horizontal="center" vertical="center"/>
    </xf>
    <xf numFmtId="0" fontId="4" fillId="10" borderId="19" xfId="0" applyFont="1" applyFill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6" fillId="0" borderId="26" xfId="0" applyFont="1" applyBorder="1"/>
    <xf numFmtId="0" fontId="3" fillId="0" borderId="27" xfId="0" applyFont="1" applyBorder="1" applyAlignment="1">
      <alignment vertical="center" wrapText="1"/>
    </xf>
    <xf numFmtId="0" fontId="4" fillId="6" borderId="25" xfId="0" applyFont="1" applyFill="1" applyBorder="1" applyAlignment="1">
      <alignment horizontal="center" vertical="center"/>
    </xf>
    <xf numFmtId="0" fontId="6" fillId="0" borderId="28" xfId="0" applyFont="1" applyBorder="1"/>
    <xf numFmtId="0" fontId="3" fillId="12" borderId="18" xfId="0" applyFont="1" applyFill="1" applyBorder="1" applyAlignment="1">
      <alignment vertical="center" wrapText="1"/>
    </xf>
    <xf numFmtId="0" fontId="4" fillId="1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vertical="center" wrapText="1"/>
    </xf>
    <xf numFmtId="0" fontId="3" fillId="12" borderId="29" xfId="0" applyFont="1" applyFill="1" applyBorder="1" applyAlignment="1">
      <alignment vertical="center" wrapText="1"/>
    </xf>
    <xf numFmtId="0" fontId="4" fillId="12" borderId="29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13" borderId="38" xfId="0" applyFont="1" applyFill="1" applyBorder="1" applyAlignment="1">
      <alignment horizontal="center" vertical="center" wrapText="1"/>
    </xf>
    <xf numFmtId="0" fontId="3" fillId="13" borderId="39" xfId="0" applyFont="1" applyFill="1" applyBorder="1" applyAlignment="1">
      <alignment horizontal="center" vertical="center" wrapText="1"/>
    </xf>
    <xf numFmtId="0" fontId="3" fillId="13" borderId="4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/>
    </xf>
    <xf numFmtId="0" fontId="4" fillId="10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vertical="center" wrapText="1"/>
    </xf>
    <xf numFmtId="0" fontId="6" fillId="3" borderId="20" xfId="0" applyFont="1" applyFill="1" applyBorder="1"/>
    <xf numFmtId="0" fontId="6" fillId="3" borderId="24" xfId="0" applyFont="1" applyFill="1" applyBorder="1"/>
    <xf numFmtId="0" fontId="3" fillId="0" borderId="25" xfId="0" applyFont="1" applyBorder="1" applyAlignment="1">
      <alignment vertical="center" wrapText="1"/>
    </xf>
    <xf numFmtId="0" fontId="3" fillId="13" borderId="19" xfId="0" applyFont="1" applyFill="1" applyBorder="1" applyAlignment="1">
      <alignment vertical="center"/>
    </xf>
    <xf numFmtId="0" fontId="6" fillId="13" borderId="20" xfId="0" applyFont="1" applyFill="1" applyBorder="1"/>
    <xf numFmtId="0" fontId="5" fillId="4" borderId="4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42" xfId="0" applyFont="1" applyBorder="1"/>
    <xf numFmtId="0" fontId="3" fillId="6" borderId="19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0" fontId="3" fillId="0" borderId="43" xfId="0" applyFont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0" fontId="3" fillId="0" borderId="44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45" xfId="0" applyFont="1" applyBorder="1" applyAlignment="1">
      <alignment horizontal="center" vertical="center"/>
    </xf>
    <xf numFmtId="0" fontId="3" fillId="3" borderId="25" xfId="0" applyFont="1" applyFill="1" applyBorder="1" applyAlignment="1">
      <alignment vertical="center"/>
    </xf>
    <xf numFmtId="0" fontId="6" fillId="3" borderId="26" xfId="0" applyFont="1" applyFill="1" applyBorder="1"/>
    <xf numFmtId="0" fontId="6" fillId="3" borderId="28" xfId="0" applyFont="1" applyFill="1" applyBorder="1"/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1" fillId="0" borderId="10" xfId="0" applyFont="1" applyBorder="1"/>
    <xf numFmtId="0" fontId="7" fillId="4" borderId="6" xfId="0" applyFont="1" applyFill="1" applyBorder="1" applyAlignment="1">
      <alignment horizontal="center" vertical="center"/>
    </xf>
    <xf numFmtId="0" fontId="4" fillId="12" borderId="13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/>
    </xf>
    <xf numFmtId="0" fontId="8" fillId="12" borderId="14" xfId="0" applyFont="1" applyFill="1" applyBorder="1" applyAlignment="1">
      <alignment horizontal="center"/>
    </xf>
    <xf numFmtId="0" fontId="3" fillId="0" borderId="13" xfId="0" applyFont="1" applyBorder="1" applyAlignment="1">
      <alignment vertical="center"/>
    </xf>
    <xf numFmtId="0" fontId="4" fillId="3" borderId="18" xfId="0" applyFont="1" applyFill="1" applyBorder="1" applyAlignment="1">
      <alignment horizontal="center" vertical="center"/>
    </xf>
    <xf numFmtId="0" fontId="12" fillId="0" borderId="19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/>
    </xf>
    <xf numFmtId="0" fontId="6" fillId="0" borderId="47" xfId="0" applyFont="1" applyBorder="1"/>
    <xf numFmtId="0" fontId="3" fillId="0" borderId="1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1" fillId="0" borderId="44" xfId="0" applyFont="1" applyBorder="1"/>
    <xf numFmtId="0" fontId="11" fillId="0" borderId="48" xfId="0" applyFont="1" applyBorder="1"/>
    <xf numFmtId="0" fontId="6" fillId="0" borderId="49" xfId="0" applyFont="1" applyBorder="1"/>
    <xf numFmtId="0" fontId="6" fillId="0" borderId="50" xfId="0" applyFont="1" applyBorder="1"/>
    <xf numFmtId="0" fontId="6" fillId="0" borderId="48" xfId="0" applyFont="1" applyBorder="1"/>
    <xf numFmtId="0" fontId="6" fillId="0" borderId="44" xfId="0" applyFont="1" applyBorder="1"/>
    <xf numFmtId="0" fontId="6" fillId="0" borderId="50" xfId="0" applyFont="1" applyBorder="1" applyAlignment="1">
      <alignment wrapText="1"/>
    </xf>
    <xf numFmtId="0" fontId="6" fillId="0" borderId="48" xfId="0" applyFont="1" applyBorder="1" applyAlignment="1">
      <alignment wrapText="1"/>
    </xf>
    <xf numFmtId="0" fontId="5" fillId="4" borderId="51" xfId="0" applyFont="1" applyFill="1" applyBorder="1" applyAlignment="1">
      <alignment horizontal="center" vertical="center" wrapText="1"/>
    </xf>
    <xf numFmtId="0" fontId="6" fillId="0" borderId="52" xfId="0" applyFont="1" applyBorder="1" applyAlignment="1">
      <alignment wrapText="1"/>
    </xf>
    <xf numFmtId="0" fontId="3" fillId="7" borderId="53" xfId="0" applyFont="1" applyFill="1" applyBorder="1" applyAlignment="1">
      <alignment vertical="center"/>
    </xf>
    <xf numFmtId="0" fontId="6" fillId="0" borderId="45" xfId="0" applyFont="1" applyBorder="1"/>
    <xf numFmtId="0" fontId="6" fillId="0" borderId="53" xfId="0" applyFont="1" applyBorder="1"/>
    <xf numFmtId="0" fontId="6" fillId="0" borderId="54" xfId="0" applyFont="1" applyBorder="1"/>
    <xf numFmtId="0" fontId="6" fillId="13" borderId="53" xfId="0" applyFont="1" applyFill="1" applyBorder="1"/>
    <xf numFmtId="0" fontId="3" fillId="0" borderId="54" xfId="0" applyFont="1" applyBorder="1" applyAlignment="1">
      <alignment horizontal="center" vertical="center"/>
    </xf>
    <xf numFmtId="0" fontId="3" fillId="6" borderId="18" xfId="0" applyFont="1" applyFill="1" applyBorder="1" applyAlignment="1">
      <alignment vertical="center" wrapText="1"/>
    </xf>
    <xf numFmtId="0" fontId="3" fillId="0" borderId="25" xfId="0" applyFont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4" fillId="12" borderId="19" xfId="0" applyFont="1" applyFill="1" applyBorder="1" applyAlignment="1">
      <alignment vertical="center" wrapText="1"/>
    </xf>
    <xf numFmtId="0" fontId="6" fillId="12" borderId="20" xfId="0" applyFont="1" applyFill="1" applyBorder="1"/>
    <xf numFmtId="0" fontId="4" fillId="0" borderId="22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13" borderId="18" xfId="0" applyFont="1" applyFill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3" borderId="27" xfId="0" applyFont="1" applyFill="1" applyBorder="1" applyAlignment="1">
      <alignment vertical="center" wrapText="1"/>
    </xf>
    <xf numFmtId="0" fontId="3" fillId="0" borderId="29" xfId="0" applyFont="1" applyBorder="1" applyAlignment="1">
      <alignment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vertical="center" wrapText="1"/>
    </xf>
    <xf numFmtId="0" fontId="6" fillId="0" borderId="20" xfId="0" applyFont="1" applyBorder="1" applyAlignment="1">
      <alignment vertical="center"/>
    </xf>
    <xf numFmtId="0" fontId="3" fillId="3" borderId="55" xfId="0" applyFont="1" applyFill="1" applyBorder="1" applyAlignment="1">
      <alignment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14" borderId="25" xfId="0" applyFont="1" applyFill="1" applyBorder="1" applyAlignment="1">
      <alignment vertical="center"/>
    </xf>
    <xf numFmtId="0" fontId="6" fillId="13" borderId="26" xfId="0" applyFont="1" applyFill="1" applyBorder="1"/>
    <xf numFmtId="0" fontId="3" fillId="0" borderId="56" xfId="0" applyFont="1" applyBorder="1" applyAlignment="1">
      <alignment horizontal="center" vertical="center"/>
    </xf>
    <xf numFmtId="0" fontId="6" fillId="13" borderId="13" xfId="0" applyFont="1" applyFill="1" applyBorder="1"/>
    <xf numFmtId="0" fontId="1" fillId="13" borderId="0" xfId="0" applyFont="1" applyFill="1"/>
    <xf numFmtId="0" fontId="6" fillId="13" borderId="22" xfId="0" applyFont="1" applyFill="1" applyBorder="1"/>
    <xf numFmtId="0" fontId="6" fillId="13" borderId="23" xfId="0" applyFont="1" applyFill="1" applyBorder="1"/>
    <xf numFmtId="0" fontId="3" fillId="15" borderId="0" xfId="0" applyFont="1" applyFill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left" vertical="center" wrapText="1"/>
    </xf>
    <xf numFmtId="0" fontId="4" fillId="16" borderId="26" xfId="0" applyFont="1" applyFill="1" applyBorder="1" applyAlignment="1">
      <alignment horizontal="center" vertical="center"/>
    </xf>
    <xf numFmtId="0" fontId="6" fillId="13" borderId="0" xfId="0" applyFont="1" applyFill="1"/>
    <xf numFmtId="0" fontId="6" fillId="0" borderId="24" xfId="0" applyFont="1" applyBorder="1" applyAlignment="1">
      <alignment vertical="center"/>
    </xf>
    <xf numFmtId="0" fontId="6" fillId="3" borderId="20" xfId="0" applyFont="1" applyFill="1" applyBorder="1" applyAlignment="1">
      <alignment vertical="center" wrapText="1"/>
    </xf>
    <xf numFmtId="0" fontId="6" fillId="3" borderId="24" xfId="0" applyFont="1" applyFill="1" applyBorder="1" applyAlignment="1">
      <alignment vertical="center" wrapText="1"/>
    </xf>
    <xf numFmtId="0" fontId="3" fillId="17" borderId="0" xfId="0" applyFont="1" applyFill="1" applyAlignment="1">
      <alignment vertical="center"/>
    </xf>
    <xf numFmtId="0" fontId="6" fillId="13" borderId="0" xfId="0" applyFont="1" applyFill="1" applyAlignment="1">
      <alignment vertical="center"/>
    </xf>
    <xf numFmtId="0" fontId="6" fillId="13" borderId="54" xfId="0" applyFont="1" applyFill="1" applyBorder="1"/>
    <xf numFmtId="0" fontId="6" fillId="13" borderId="44" xfId="0" applyFont="1" applyFill="1" applyBorder="1"/>
    <xf numFmtId="0" fontId="6" fillId="13" borderId="45" xfId="0" applyFont="1" applyFill="1" applyBorder="1"/>
    <xf numFmtId="0" fontId="6" fillId="12" borderId="53" xfId="0" applyFont="1" applyFill="1" applyBorder="1"/>
    <xf numFmtId="0" fontId="3" fillId="0" borderId="53" xfId="0" applyFont="1" applyBorder="1" applyAlignment="1">
      <alignment horizontal="center" vertical="center"/>
    </xf>
    <xf numFmtId="0" fontId="6" fillId="0" borderId="53" xfId="0" applyFont="1" applyBorder="1" applyAlignment="1">
      <alignment vertical="center"/>
    </xf>
    <xf numFmtId="0" fontId="6" fillId="13" borderId="44" xfId="0" applyFont="1" applyFill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4" fillId="18" borderId="22" xfId="0" applyFont="1" applyFill="1" applyBorder="1" applyAlignment="1">
      <alignment vertical="center" wrapText="1"/>
    </xf>
    <xf numFmtId="0" fontId="3" fillId="0" borderId="57" xfId="0" applyFont="1" applyBorder="1" applyAlignment="1">
      <alignment vertical="center" wrapText="1"/>
    </xf>
    <xf numFmtId="0" fontId="4" fillId="6" borderId="57" xfId="0" applyFont="1" applyFill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4" fillId="6" borderId="27" xfId="0" applyFont="1" applyFill="1" applyBorder="1" applyAlignment="1">
      <alignment horizontal="center" vertical="center"/>
    </xf>
    <xf numFmtId="176" fontId="5" fillId="4" borderId="21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vertical="center" wrapText="1"/>
    </xf>
    <xf numFmtId="0" fontId="3" fillId="0" borderId="25" xfId="0" applyFont="1" applyBorder="1" applyAlignment="1">
      <alignment horizontal="center" vertical="center"/>
    </xf>
    <xf numFmtId="0" fontId="3" fillId="14" borderId="19" xfId="0" applyFont="1" applyFill="1" applyBorder="1" applyAlignment="1">
      <alignment vertical="center"/>
    </xf>
    <xf numFmtId="0" fontId="3" fillId="19" borderId="18" xfId="0" applyFont="1" applyFill="1" applyBorder="1" applyAlignment="1">
      <alignment vertical="center" wrapText="1"/>
    </xf>
    <xf numFmtId="0" fontId="4" fillId="20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17" borderId="19" xfId="0" applyFont="1" applyFill="1" applyBorder="1" applyAlignment="1">
      <alignment vertical="center"/>
    </xf>
    <xf numFmtId="0" fontId="6" fillId="0" borderId="56" xfId="0" applyFont="1" applyBorder="1"/>
    <xf numFmtId="0" fontId="3" fillId="0" borderId="25" xfId="0" applyFont="1" applyFill="1" applyBorder="1" applyAlignment="1">
      <alignment vertical="center"/>
    </xf>
    <xf numFmtId="0" fontId="6" fillId="0" borderId="26" xfId="0" applyFont="1" applyFill="1" applyBorder="1"/>
    <xf numFmtId="0" fontId="3" fillId="12" borderId="19" xfId="0" applyFont="1" applyFill="1" applyBorder="1" applyAlignment="1">
      <alignment vertical="center" wrapText="1"/>
    </xf>
    <xf numFmtId="0" fontId="6" fillId="12" borderId="24" xfId="0" applyFont="1" applyFill="1" applyBorder="1"/>
    <xf numFmtId="0" fontId="3" fillId="8" borderId="19" xfId="0" applyFont="1" applyFill="1" applyBorder="1" applyAlignment="1">
      <alignment vertical="center" wrapText="1"/>
    </xf>
    <xf numFmtId="0" fontId="6" fillId="8" borderId="20" xfId="0" applyFont="1" applyFill="1" applyBorder="1"/>
    <xf numFmtId="0" fontId="6" fillId="8" borderId="24" xfId="0" applyFont="1" applyFill="1" applyBorder="1"/>
    <xf numFmtId="0" fontId="6" fillId="13" borderId="24" xfId="0" applyFont="1" applyFill="1" applyBorder="1"/>
    <xf numFmtId="0" fontId="6" fillId="0" borderId="54" xfId="0" applyFont="1" applyFill="1" applyBorder="1"/>
    <xf numFmtId="0" fontId="3" fillId="14" borderId="22" xfId="0" applyFont="1" applyFill="1" applyBorder="1" applyAlignment="1">
      <alignment vertical="center"/>
    </xf>
    <xf numFmtId="0" fontId="6" fillId="0" borderId="16" xfId="0" applyFont="1" applyBorder="1"/>
    <xf numFmtId="176" fontId="5" fillId="4" borderId="4" xfId="0" applyNumberFormat="1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 wrapText="1"/>
    </xf>
    <xf numFmtId="0" fontId="3" fillId="21" borderId="25" xfId="0" applyFont="1" applyFill="1" applyBorder="1" applyAlignment="1">
      <alignment vertical="center"/>
    </xf>
    <xf numFmtId="0" fontId="4" fillId="6" borderId="24" xfId="0" applyFont="1" applyFill="1" applyBorder="1" applyAlignment="1">
      <alignment horizontal="center" vertical="center"/>
    </xf>
    <xf numFmtId="0" fontId="6" fillId="0" borderId="13" xfId="0" applyFont="1" applyBorder="1"/>
    <xf numFmtId="0" fontId="6" fillId="0" borderId="22" xfId="0" applyFont="1" applyBorder="1"/>
    <xf numFmtId="0" fontId="3" fillId="21" borderId="19" xfId="0" applyFont="1" applyFill="1" applyBorder="1" applyAlignment="1">
      <alignment vertical="center" wrapText="1"/>
    </xf>
    <xf numFmtId="0" fontId="1" fillId="0" borderId="18" xfId="0" applyFont="1" applyFill="1" applyBorder="1" applyAlignment="1">
      <alignment vertical="center"/>
    </xf>
    <xf numFmtId="0" fontId="3" fillId="3" borderId="58" xfId="0" applyFont="1" applyFill="1" applyBorder="1" applyAlignment="1">
      <alignment vertical="center" wrapText="1"/>
    </xf>
    <xf numFmtId="0" fontId="3" fillId="0" borderId="58" xfId="0" applyFont="1" applyBorder="1" applyAlignment="1">
      <alignment vertical="center" wrapText="1"/>
    </xf>
    <xf numFmtId="0" fontId="15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3" fillId="5" borderId="58" xfId="0" applyFont="1" applyFill="1" applyBorder="1" applyAlignment="1">
      <alignment vertical="center" wrapText="1"/>
    </xf>
    <xf numFmtId="0" fontId="6" fillId="13" borderId="56" xfId="0" applyFont="1" applyFill="1" applyBorder="1"/>
    <xf numFmtId="0" fontId="6" fillId="0" borderId="41" xfId="0" applyFont="1" applyBorder="1"/>
    <xf numFmtId="0" fontId="3" fillId="17" borderId="25" xfId="0" applyFont="1" applyFill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9" borderId="23" xfId="0" applyFont="1" applyFill="1" applyBorder="1" applyAlignment="1">
      <alignment vertical="center"/>
    </xf>
    <xf numFmtId="0" fontId="8" fillId="0" borderId="24" xfId="0" applyFont="1" applyBorder="1" applyAlignment="1">
      <alignment horizontal="center"/>
    </xf>
    <xf numFmtId="0" fontId="3" fillId="9" borderId="45" xfId="0" applyFont="1" applyFill="1" applyBorder="1" applyAlignment="1">
      <alignment vertical="center"/>
    </xf>
    <xf numFmtId="0" fontId="3" fillId="9" borderId="0" xfId="0" applyFont="1" applyFill="1" applyAlignment="1">
      <alignment vertical="center"/>
    </xf>
    <xf numFmtId="0" fontId="3" fillId="17" borderId="59" xfId="0" applyFont="1" applyFill="1" applyBorder="1" applyAlignment="1">
      <alignment vertical="center"/>
    </xf>
    <xf numFmtId="0" fontId="3" fillId="17" borderId="60" xfId="0" applyFont="1" applyFill="1" applyBorder="1" applyAlignment="1">
      <alignment vertical="center"/>
    </xf>
    <xf numFmtId="0" fontId="5" fillId="4" borderId="38" xfId="0" applyFont="1" applyFill="1" applyBorder="1" applyAlignment="1">
      <alignment horizontal="center" vertical="center" wrapText="1"/>
    </xf>
    <xf numFmtId="0" fontId="6" fillId="0" borderId="39" xfId="0" applyFont="1" applyBorder="1"/>
    <xf numFmtId="0" fontId="5" fillId="4" borderId="61" xfId="0" applyFont="1" applyFill="1" applyBorder="1" applyAlignment="1">
      <alignment horizontal="center" vertical="center" wrapText="1"/>
    </xf>
    <xf numFmtId="0" fontId="5" fillId="4" borderId="62" xfId="0" applyFont="1" applyFill="1" applyBorder="1" applyAlignment="1">
      <alignment horizontal="center" vertical="center"/>
    </xf>
    <xf numFmtId="0" fontId="6" fillId="0" borderId="63" xfId="0" applyFont="1" applyBorder="1"/>
    <xf numFmtId="0" fontId="5" fillId="4" borderId="26" xfId="0" applyFont="1" applyFill="1" applyBorder="1" applyAlignment="1">
      <alignment horizontal="center" vertical="center"/>
    </xf>
    <xf numFmtId="0" fontId="6" fillId="0" borderId="64" xfId="0" applyFont="1" applyBorder="1"/>
    <xf numFmtId="176" fontId="5" fillId="4" borderId="42" xfId="0" applyNumberFormat="1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4" fillId="18" borderId="13" xfId="0" applyFont="1" applyFill="1" applyBorder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3" borderId="29" xfId="0" applyFont="1" applyFill="1" applyBorder="1" applyAlignment="1">
      <alignment vertical="center"/>
    </xf>
    <xf numFmtId="1" fontId="4" fillId="3" borderId="24" xfId="0" applyNumberFormat="1" applyFont="1" applyFill="1" applyBorder="1" applyAlignment="1">
      <alignment horizontal="center" vertical="center"/>
    </xf>
    <xf numFmtId="1" fontId="4" fillId="22" borderId="18" xfId="0" applyNumberFormat="1" applyFont="1" applyFill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4" fillId="3" borderId="24" xfId="0" applyFont="1" applyFill="1" applyBorder="1" applyAlignment="1">
      <alignment vertical="center"/>
    </xf>
    <xf numFmtId="0" fontId="3" fillId="4" borderId="65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1" fontId="5" fillId="4" borderId="41" xfId="0" applyNumberFormat="1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4" fillId="22" borderId="1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vertical="center"/>
    </xf>
    <xf numFmtId="0" fontId="3" fillId="13" borderId="19" xfId="0" applyFont="1" applyFill="1" applyBorder="1" applyAlignment="1">
      <alignment vertical="center" wrapText="1"/>
    </xf>
    <xf numFmtId="0" fontId="6" fillId="0" borderId="66" xfId="0" applyFont="1" applyBorder="1"/>
    <xf numFmtId="0" fontId="5" fillId="4" borderId="67" xfId="0" applyFont="1" applyFill="1" applyBorder="1" applyAlignment="1">
      <alignment horizontal="center" vertical="center" wrapText="1"/>
    </xf>
    <xf numFmtId="0" fontId="4" fillId="18" borderId="14" xfId="0" applyFont="1" applyFill="1" applyBorder="1" applyAlignment="1">
      <alignment horizontal="left" vertical="center"/>
    </xf>
    <xf numFmtId="0" fontId="1" fillId="0" borderId="29" xfId="0" applyFont="1" applyBorder="1"/>
    <xf numFmtId="0" fontId="6" fillId="0" borderId="29" xfId="0" applyFont="1" applyBorder="1"/>
    <xf numFmtId="0" fontId="1" fillId="3" borderId="29" xfId="0" applyFont="1" applyFill="1" applyBorder="1"/>
    <xf numFmtId="0" fontId="6" fillId="3" borderId="29" xfId="0" applyFont="1" applyFill="1" applyBorder="1"/>
    <xf numFmtId="0" fontId="3" fillId="14" borderId="0" xfId="0" applyFont="1" applyFill="1" applyAlignment="1">
      <alignment horizontal="center" vertical="center"/>
    </xf>
    <xf numFmtId="0" fontId="5" fillId="4" borderId="68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3" fillId="17" borderId="27" xfId="0" applyFont="1" applyFill="1" applyBorder="1" applyAlignment="1">
      <alignment vertical="center"/>
    </xf>
    <xf numFmtId="0" fontId="3" fillId="17" borderId="69" xfId="0" applyFont="1" applyFill="1" applyBorder="1" applyAlignment="1">
      <alignment vertical="center"/>
    </xf>
    <xf numFmtId="0" fontId="5" fillId="4" borderId="67" xfId="0" applyFont="1" applyFill="1" applyBorder="1" applyAlignment="1">
      <alignment horizontal="center" vertical="center"/>
    </xf>
    <xf numFmtId="0" fontId="6" fillId="0" borderId="70" xfId="0" applyFont="1" applyBorder="1"/>
    <xf numFmtId="0" fontId="4" fillId="18" borderId="44" xfId="0" applyFont="1" applyFill="1" applyBorder="1" applyAlignment="1">
      <alignment horizontal="left" vertical="center"/>
    </xf>
    <xf numFmtId="0" fontId="3" fillId="0" borderId="54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7" fillId="4" borderId="4" xfId="0" applyFont="1" applyFill="1" applyBorder="1" applyAlignment="1" quotePrefix="1">
      <alignment horizontal="center" vertical="center"/>
    </xf>
    <xf numFmtId="0" fontId="5" fillId="4" borderId="15" xfId="0" applyFont="1" applyFill="1" applyBorder="1" applyAlignment="1" quotePrefix="1">
      <alignment horizontal="center" vertical="center" wrapText="1"/>
    </xf>
    <xf numFmtId="0" fontId="5" fillId="4" borderId="21" xfId="0" applyFont="1" applyFill="1" applyBorder="1" applyAlignment="1" quotePrefix="1">
      <alignment horizontal="center" vertical="center"/>
    </xf>
    <xf numFmtId="0" fontId="4" fillId="0" borderId="18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3" name="image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BHS\FHSIS-bugas-buga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"/>
      <sheetName val="FEB"/>
      <sheetName val="MAR"/>
      <sheetName val="Q1"/>
      <sheetName val="APR"/>
      <sheetName val="MAY"/>
      <sheetName val="JUN"/>
      <sheetName val="Q2"/>
      <sheetName val="JUL"/>
      <sheetName val="AUG"/>
      <sheetName val="SEP"/>
      <sheetName val="Q3"/>
      <sheetName val="OCT"/>
      <sheetName val="NOV"/>
      <sheetName val="DEC"/>
      <sheetName val="Q4"/>
      <sheetName val="ANNUAL (A1.A)"/>
    </sheetNames>
    <sheetDataSet>
      <sheetData sheetId="0"/>
      <sheetData sheetId="1"/>
      <sheetData sheetId="2"/>
      <sheetData sheetId="3">
        <row r="202">
          <cell r="B202">
            <v>0</v>
          </cell>
          <cell r="C202">
            <v>0</v>
          </cell>
        </row>
      </sheetData>
      <sheetData sheetId="4"/>
      <sheetData sheetId="5"/>
      <sheetData sheetId="6"/>
      <sheetData sheetId="7">
        <row r="202">
          <cell r="B202">
            <v>0</v>
          </cell>
          <cell r="C202">
            <v>0</v>
          </cell>
        </row>
      </sheetData>
      <sheetData sheetId="8"/>
      <sheetData sheetId="9"/>
      <sheetData sheetId="10"/>
      <sheetData sheetId="11">
        <row r="202">
          <cell r="B202">
            <v>0</v>
          </cell>
          <cell r="C202">
            <v>0</v>
          </cell>
        </row>
      </sheetData>
      <sheetData sheetId="12"/>
      <sheetData sheetId="13"/>
      <sheetData sheetId="14"/>
      <sheetData sheetId="15">
        <row r="202">
          <cell r="B202">
            <v>0</v>
          </cell>
          <cell r="C202">
            <v>0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Y1000"/>
  <sheetViews>
    <sheetView tabSelected="1" zoomScale="55" zoomScaleNormal="55" topLeftCell="A233" workbookViewId="0">
      <selection activeCell="A259" sqref="A259:Y264"/>
    </sheetView>
  </sheetViews>
  <sheetFormatPr defaultColWidth="14.4285714285714" defaultRowHeight="15" customHeight="1"/>
  <cols>
    <col min="1" max="1" width="49.8571428571429" style="5" customWidth="1"/>
    <col min="2" max="24" width="9" style="5" customWidth="1"/>
    <col min="25" max="25" width="12.8571428571429" style="5" customWidth="1"/>
    <col min="26" max="26" width="13.8571428571429" style="6" customWidth="1"/>
    <col min="27" max="16381" width="14.4285714285714" style="6"/>
  </cols>
  <sheetData>
    <row r="1" ht="15.75" customHeight="1" spans="1:25">
      <c r="A1" s="7"/>
      <c r="B1" s="8" t="s">
        <v>0</v>
      </c>
      <c r="C1" s="8"/>
      <c r="D1" s="8"/>
      <c r="E1" s="8"/>
      <c r="F1" s="9" t="s">
        <v>1</v>
      </c>
      <c r="G1" s="9"/>
      <c r="H1" s="10" t="s">
        <v>2</v>
      </c>
      <c r="I1" s="9">
        <v>2025</v>
      </c>
      <c r="S1" s="7"/>
      <c r="T1" s="7"/>
      <c r="U1" s="123" t="s">
        <v>3</v>
      </c>
      <c r="V1" s="124"/>
      <c r="W1" s="124"/>
      <c r="X1" s="124"/>
      <c r="Y1" s="142"/>
    </row>
    <row r="2" ht="15.75" customHeight="1" spans="1:25">
      <c r="A2" s="7"/>
      <c r="B2" s="8" t="s">
        <v>4</v>
      </c>
      <c r="C2" s="8"/>
      <c r="D2" s="8"/>
      <c r="E2" s="8"/>
      <c r="F2" s="9"/>
      <c r="G2" s="9"/>
      <c r="H2" s="9"/>
      <c r="I2" s="9"/>
      <c r="S2" s="7"/>
      <c r="T2" s="7"/>
      <c r="U2" s="124"/>
      <c r="V2" s="124"/>
      <c r="W2" s="124"/>
      <c r="X2" s="124"/>
      <c r="Y2" s="142"/>
    </row>
    <row r="3" ht="15.75" customHeight="1" spans="1:25">
      <c r="A3" s="7"/>
      <c r="B3" s="11" t="s">
        <v>5</v>
      </c>
      <c r="C3" s="11"/>
      <c r="D3" s="11"/>
      <c r="E3" s="11"/>
      <c r="F3" s="12"/>
      <c r="G3" s="12"/>
      <c r="H3" s="12"/>
      <c r="I3" s="12"/>
      <c r="S3" s="7"/>
      <c r="T3" s="7"/>
      <c r="U3" s="124"/>
      <c r="V3" s="124"/>
      <c r="W3" s="124"/>
      <c r="X3" s="124"/>
      <c r="Y3" s="142"/>
    </row>
    <row r="4" ht="15.75" customHeight="1" spans="1:25">
      <c r="A4" s="7"/>
      <c r="B4" s="8" t="s">
        <v>6</v>
      </c>
      <c r="C4" s="8"/>
      <c r="D4" s="8"/>
      <c r="E4" s="8"/>
      <c r="F4" s="13" t="s">
        <v>7</v>
      </c>
      <c r="G4" s="13"/>
      <c r="H4" s="13"/>
      <c r="I4" s="13"/>
      <c r="S4" s="7"/>
      <c r="T4" s="7"/>
      <c r="U4" s="124"/>
      <c r="V4" s="124"/>
      <c r="W4" s="124"/>
      <c r="X4" s="124"/>
      <c r="Y4" s="142"/>
    </row>
    <row r="5" ht="15.75" customHeight="1" spans="1:25">
      <c r="A5" s="7"/>
      <c r="B5" s="8" t="s">
        <v>8</v>
      </c>
      <c r="C5" s="8"/>
      <c r="D5" s="8"/>
      <c r="E5" s="8"/>
      <c r="F5" s="12" t="s">
        <v>9</v>
      </c>
      <c r="G5" s="12"/>
      <c r="H5" s="12"/>
      <c r="I5" s="12"/>
      <c r="S5" s="7"/>
      <c r="T5" s="7"/>
      <c r="U5" s="124"/>
      <c r="V5" s="124"/>
      <c r="W5" s="124"/>
      <c r="X5" s="124"/>
      <c r="Y5" s="142"/>
    </row>
    <row r="6" ht="15.75" customHeight="1" spans="1:25">
      <c r="A6" s="7"/>
      <c r="B6" s="11" t="s">
        <v>10</v>
      </c>
      <c r="C6" s="11"/>
      <c r="D6" s="11"/>
      <c r="E6" s="11"/>
      <c r="F6" s="14">
        <v>29941</v>
      </c>
      <c r="G6" s="15"/>
      <c r="H6" s="15"/>
      <c r="I6" s="15"/>
      <c r="S6" s="7"/>
      <c r="T6" s="7"/>
      <c r="U6" s="124"/>
      <c r="V6" s="124"/>
      <c r="W6" s="124"/>
      <c r="X6" s="124"/>
      <c r="Y6" s="142"/>
    </row>
    <row r="7" ht="15.75" customHeight="1" spans="1:25">
      <c r="A7" s="7"/>
      <c r="B7" s="7"/>
      <c r="C7" s="7"/>
      <c r="D7" s="7"/>
      <c r="E7" s="7"/>
      <c r="F7" s="16"/>
      <c r="G7" s="16"/>
      <c r="H7" s="16"/>
      <c r="I7" s="1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125"/>
      <c r="V7" s="125"/>
      <c r="W7" s="125"/>
      <c r="X7" s="125"/>
      <c r="Y7" s="143"/>
    </row>
    <row r="8" ht="15.75" customHeight="1" spans="1:25">
      <c r="A8" s="17" t="s">
        <v>11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44"/>
    </row>
    <row r="9" ht="15.75" customHeight="1" outlineLevel="1" spans="1:25">
      <c r="A9" s="19" t="s">
        <v>12</v>
      </c>
      <c r="B9" s="20"/>
      <c r="C9" s="20"/>
      <c r="D9" s="21"/>
      <c r="E9" s="22" t="s">
        <v>13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26"/>
      <c r="Q9" s="126" t="s">
        <v>14</v>
      </c>
      <c r="R9" s="20"/>
      <c r="S9" s="20"/>
      <c r="T9" s="21"/>
      <c r="U9" s="55" t="s">
        <v>15</v>
      </c>
      <c r="V9" s="20"/>
      <c r="W9" s="20"/>
      <c r="X9" s="20"/>
      <c r="Y9" s="145"/>
    </row>
    <row r="10" ht="15.75" customHeight="1" outlineLevel="1" spans="1:25">
      <c r="A10" s="23"/>
      <c r="B10" s="24"/>
      <c r="C10" s="24"/>
      <c r="D10" s="25"/>
      <c r="E10" s="299" t="s">
        <v>16</v>
      </c>
      <c r="F10" s="18"/>
      <c r="G10" s="18"/>
      <c r="H10" s="26"/>
      <c r="I10" s="22" t="s">
        <v>17</v>
      </c>
      <c r="J10" s="18"/>
      <c r="K10" s="18"/>
      <c r="L10" s="26"/>
      <c r="M10" s="22" t="s">
        <v>18</v>
      </c>
      <c r="N10" s="18"/>
      <c r="O10" s="18"/>
      <c r="P10" s="26"/>
      <c r="Q10" s="23"/>
      <c r="R10" s="24"/>
      <c r="S10" s="24"/>
      <c r="T10" s="25"/>
      <c r="U10" s="23"/>
      <c r="V10" s="24"/>
      <c r="W10" s="24"/>
      <c r="X10" s="24"/>
      <c r="Y10" s="146"/>
    </row>
    <row r="11" ht="52.5" customHeight="1" outlineLevel="1" spans="1:25">
      <c r="A11" s="27" t="s">
        <v>19</v>
      </c>
      <c r="B11" s="27"/>
      <c r="C11" s="27"/>
      <c r="D11" s="28"/>
      <c r="E11" s="29">
        <f>SUM([1]DEC!E11)</f>
        <v>0</v>
      </c>
      <c r="F11" s="30"/>
      <c r="G11" s="30"/>
      <c r="H11" s="31"/>
      <c r="I11" s="101">
        <v>69</v>
      </c>
      <c r="J11" s="3"/>
      <c r="K11" s="3"/>
      <c r="L11" s="102"/>
      <c r="M11" s="101">
        <v>3061</v>
      </c>
      <c r="N11" s="3"/>
      <c r="O11" s="3"/>
      <c r="P11" s="102"/>
      <c r="Q11" s="127">
        <v>3130</v>
      </c>
      <c r="R11" s="128"/>
      <c r="S11" s="128"/>
      <c r="T11" s="129"/>
      <c r="U11" s="130"/>
      <c r="V11" s="130"/>
      <c r="W11" s="130"/>
      <c r="X11" s="130"/>
      <c r="Y11" s="147"/>
    </row>
    <row r="12" s="1" customFormat="1" ht="15.75" customHeight="1" outlineLevel="1" spans="1:25">
      <c r="A12" s="32" t="s">
        <v>20</v>
      </c>
      <c r="B12" s="33" t="s">
        <v>21</v>
      </c>
      <c r="C12" s="34"/>
      <c r="D12" s="34"/>
      <c r="E12" s="35"/>
      <c r="F12" s="17" t="s">
        <v>22</v>
      </c>
      <c r="G12" s="36"/>
      <c r="H12" s="36"/>
      <c r="I12" s="36"/>
      <c r="J12" s="36"/>
      <c r="K12" s="36"/>
      <c r="L12" s="36"/>
      <c r="M12" s="41"/>
      <c r="N12" s="33" t="s">
        <v>23</v>
      </c>
      <c r="O12" s="34"/>
      <c r="P12" s="34"/>
      <c r="Q12" s="35"/>
      <c r="R12" s="33" t="s">
        <v>24</v>
      </c>
      <c r="S12" s="34"/>
      <c r="T12" s="34"/>
      <c r="U12" s="35"/>
      <c r="V12" s="33" t="s">
        <v>25</v>
      </c>
      <c r="W12" s="34"/>
      <c r="X12" s="34"/>
      <c r="Y12" s="148"/>
    </row>
    <row r="13" s="1" customFormat="1" ht="21" customHeight="1" outlineLevel="1" spans="1:25">
      <c r="A13" s="37"/>
      <c r="B13" s="38"/>
      <c r="C13" s="39"/>
      <c r="D13" s="39"/>
      <c r="E13" s="40"/>
      <c r="F13" s="17" t="s">
        <v>26</v>
      </c>
      <c r="G13" s="36"/>
      <c r="H13" s="36"/>
      <c r="I13" s="41"/>
      <c r="J13" s="17" t="s">
        <v>27</v>
      </c>
      <c r="K13" s="36"/>
      <c r="L13" s="36"/>
      <c r="M13" s="41"/>
      <c r="N13" s="38"/>
      <c r="O13" s="39"/>
      <c r="P13" s="39"/>
      <c r="Q13" s="40"/>
      <c r="R13" s="38"/>
      <c r="S13" s="39"/>
      <c r="T13" s="39"/>
      <c r="U13" s="40"/>
      <c r="V13" s="38"/>
      <c r="W13" s="39"/>
      <c r="X13" s="39"/>
      <c r="Y13" s="149"/>
    </row>
    <row r="14" s="1" customFormat="1" ht="15.75" customHeight="1" outlineLevel="1" spans="1:25">
      <c r="A14" s="37"/>
      <c r="B14" s="17" t="s">
        <v>13</v>
      </c>
      <c r="C14" s="36"/>
      <c r="D14" s="41"/>
      <c r="E14" s="32" t="s">
        <v>28</v>
      </c>
      <c r="F14" s="17" t="s">
        <v>13</v>
      </c>
      <c r="G14" s="36"/>
      <c r="H14" s="41"/>
      <c r="I14" s="32" t="s">
        <v>28</v>
      </c>
      <c r="J14" s="17" t="s">
        <v>13</v>
      </c>
      <c r="K14" s="36"/>
      <c r="L14" s="41"/>
      <c r="M14" s="32" t="s">
        <v>28</v>
      </c>
      <c r="N14" s="17" t="s">
        <v>13</v>
      </c>
      <c r="O14" s="36"/>
      <c r="P14" s="41"/>
      <c r="Q14" s="32" t="s">
        <v>28</v>
      </c>
      <c r="R14" s="17" t="s">
        <v>13</v>
      </c>
      <c r="S14" s="36"/>
      <c r="T14" s="41"/>
      <c r="U14" s="32" t="s">
        <v>28</v>
      </c>
      <c r="V14" s="17" t="s">
        <v>13</v>
      </c>
      <c r="W14" s="36"/>
      <c r="X14" s="41"/>
      <c r="Y14" s="150" t="s">
        <v>28</v>
      </c>
    </row>
    <row r="15" s="1" customFormat="1" ht="15.75" customHeight="1" outlineLevel="1" spans="1:25">
      <c r="A15" s="42"/>
      <c r="B15" s="300" t="s">
        <v>29</v>
      </c>
      <c r="C15" s="32" t="s">
        <v>30</v>
      </c>
      <c r="D15" s="32" t="s">
        <v>31</v>
      </c>
      <c r="E15" s="42"/>
      <c r="F15" s="300" t="s">
        <v>29</v>
      </c>
      <c r="G15" s="32" t="s">
        <v>30</v>
      </c>
      <c r="H15" s="32" t="s">
        <v>31</v>
      </c>
      <c r="I15" s="42"/>
      <c r="J15" s="300" t="s">
        <v>29</v>
      </c>
      <c r="K15" s="32" t="s">
        <v>30</v>
      </c>
      <c r="L15" s="32" t="s">
        <v>31</v>
      </c>
      <c r="M15" s="42"/>
      <c r="N15" s="300" t="s">
        <v>29</v>
      </c>
      <c r="O15" s="32" t="s">
        <v>30</v>
      </c>
      <c r="P15" s="32" t="s">
        <v>31</v>
      </c>
      <c r="Q15" s="42"/>
      <c r="R15" s="300" t="s">
        <v>29</v>
      </c>
      <c r="S15" s="32" t="s">
        <v>30</v>
      </c>
      <c r="T15" s="32" t="s">
        <v>31</v>
      </c>
      <c r="U15" s="42"/>
      <c r="V15" s="300" t="s">
        <v>29</v>
      </c>
      <c r="W15" s="32" t="s">
        <v>30</v>
      </c>
      <c r="X15" s="32" t="s">
        <v>31</v>
      </c>
      <c r="Y15" s="151"/>
    </row>
    <row r="16" ht="15.75" customHeight="1" outlineLevel="1" spans="1:25">
      <c r="A16" s="43" t="s">
        <v>32</v>
      </c>
      <c r="B16" s="44">
        <v>0</v>
      </c>
      <c r="C16" s="44">
        <v>0</v>
      </c>
      <c r="D16" s="44">
        <v>321</v>
      </c>
      <c r="E16" s="45">
        <v>321</v>
      </c>
      <c r="F16" s="44">
        <v>0</v>
      </c>
      <c r="G16" s="44">
        <v>0</v>
      </c>
      <c r="H16" s="44">
        <v>0</v>
      </c>
      <c r="I16" s="45">
        <v>0</v>
      </c>
      <c r="J16" s="44">
        <v>0</v>
      </c>
      <c r="K16" s="44">
        <v>0</v>
      </c>
      <c r="L16" s="44">
        <v>1</v>
      </c>
      <c r="M16" s="45">
        <v>1</v>
      </c>
      <c r="N16" s="44">
        <v>0</v>
      </c>
      <c r="O16" s="44">
        <v>0</v>
      </c>
      <c r="P16" s="44">
        <v>175</v>
      </c>
      <c r="Q16" s="45">
        <v>175</v>
      </c>
      <c r="R16" s="44">
        <v>0</v>
      </c>
      <c r="S16" s="44">
        <v>0</v>
      </c>
      <c r="T16" s="44">
        <v>147</v>
      </c>
      <c r="U16" s="45">
        <v>147</v>
      </c>
      <c r="V16" s="44">
        <v>0</v>
      </c>
      <c r="W16" s="44">
        <v>0</v>
      </c>
      <c r="X16" s="44">
        <v>0</v>
      </c>
      <c r="Y16" s="138">
        <v>0</v>
      </c>
    </row>
    <row r="17" ht="15.75" customHeight="1" outlineLevel="1" spans="1:25">
      <c r="A17" s="43" t="s">
        <v>33</v>
      </c>
      <c r="B17" s="44">
        <v>0</v>
      </c>
      <c r="C17" s="44">
        <v>0</v>
      </c>
      <c r="D17" s="44">
        <v>15</v>
      </c>
      <c r="E17" s="45">
        <v>15</v>
      </c>
      <c r="F17" s="44">
        <v>0</v>
      </c>
      <c r="G17" s="44">
        <v>0</v>
      </c>
      <c r="H17" s="44">
        <v>0</v>
      </c>
      <c r="I17" s="45">
        <v>0</v>
      </c>
      <c r="J17" s="44">
        <v>0</v>
      </c>
      <c r="K17" s="44">
        <v>0</v>
      </c>
      <c r="L17" s="44">
        <v>0</v>
      </c>
      <c r="M17" s="45">
        <v>0</v>
      </c>
      <c r="N17" s="44">
        <v>0</v>
      </c>
      <c r="O17" s="44">
        <v>0</v>
      </c>
      <c r="P17" s="44">
        <v>1</v>
      </c>
      <c r="Q17" s="45">
        <v>1</v>
      </c>
      <c r="R17" s="44">
        <v>0</v>
      </c>
      <c r="S17" s="44">
        <v>0</v>
      </c>
      <c r="T17" s="44">
        <v>14</v>
      </c>
      <c r="U17" s="45">
        <v>14</v>
      </c>
      <c r="V17" s="44">
        <v>0</v>
      </c>
      <c r="W17" s="44">
        <v>0</v>
      </c>
      <c r="X17" s="44">
        <v>0</v>
      </c>
      <c r="Y17" s="138">
        <v>0</v>
      </c>
    </row>
    <row r="18" ht="15.75" customHeight="1" outlineLevel="1" spans="1:25">
      <c r="A18" s="43" t="s">
        <v>34</v>
      </c>
      <c r="B18" s="44">
        <v>0</v>
      </c>
      <c r="C18" s="44">
        <v>4</v>
      </c>
      <c r="D18" s="44">
        <v>146</v>
      </c>
      <c r="E18" s="45">
        <v>150</v>
      </c>
      <c r="F18" s="44">
        <v>0</v>
      </c>
      <c r="G18" s="44">
        <v>7</v>
      </c>
      <c r="H18" s="44">
        <v>18</v>
      </c>
      <c r="I18" s="45">
        <v>25</v>
      </c>
      <c r="J18" s="44">
        <v>0</v>
      </c>
      <c r="K18" s="44">
        <v>0</v>
      </c>
      <c r="L18" s="44">
        <v>9</v>
      </c>
      <c r="M18" s="45">
        <v>9</v>
      </c>
      <c r="N18" s="44">
        <v>0</v>
      </c>
      <c r="O18" s="44">
        <v>11</v>
      </c>
      <c r="P18" s="44">
        <v>173</v>
      </c>
      <c r="Q18" s="45">
        <v>184</v>
      </c>
      <c r="R18" s="44">
        <v>0</v>
      </c>
      <c r="S18" s="44">
        <v>0</v>
      </c>
      <c r="T18" s="44">
        <v>0</v>
      </c>
      <c r="U18" s="45">
        <v>0</v>
      </c>
      <c r="V18" s="44">
        <v>0</v>
      </c>
      <c r="W18" s="44">
        <v>0</v>
      </c>
      <c r="X18" s="44">
        <v>14</v>
      </c>
      <c r="Y18" s="138">
        <v>14</v>
      </c>
    </row>
    <row r="19" ht="15.75" customHeight="1" outlineLevel="1" spans="1:25">
      <c r="A19" s="46" t="s">
        <v>35</v>
      </c>
      <c r="B19" s="47"/>
      <c r="C19" s="47"/>
      <c r="D19" s="47"/>
      <c r="E19" s="48"/>
      <c r="F19" s="49"/>
      <c r="G19" s="49"/>
      <c r="H19" s="49"/>
      <c r="I19" s="48"/>
      <c r="J19" s="49"/>
      <c r="K19" s="49"/>
      <c r="L19" s="49"/>
      <c r="M19" s="48"/>
      <c r="N19" s="49"/>
      <c r="O19" s="49"/>
      <c r="P19" s="49"/>
      <c r="Q19" s="48"/>
      <c r="R19" s="49"/>
      <c r="S19" s="49"/>
      <c r="T19" s="49"/>
      <c r="U19" s="48"/>
      <c r="V19" s="49"/>
      <c r="W19" s="49"/>
      <c r="X19" s="49"/>
      <c r="Y19" s="152"/>
    </row>
    <row r="20" ht="15.75" customHeight="1" outlineLevel="1" spans="1:25">
      <c r="A20" s="43" t="s">
        <v>36</v>
      </c>
      <c r="B20" s="44">
        <v>0</v>
      </c>
      <c r="C20" s="44">
        <v>23</v>
      </c>
      <c r="D20" s="44">
        <v>419</v>
      </c>
      <c r="E20" s="45">
        <v>442</v>
      </c>
      <c r="F20" s="44">
        <v>0</v>
      </c>
      <c r="G20" s="44">
        <v>2</v>
      </c>
      <c r="H20" s="44">
        <v>31</v>
      </c>
      <c r="I20" s="45">
        <v>33</v>
      </c>
      <c r="J20" s="44">
        <v>0</v>
      </c>
      <c r="K20" s="44">
        <v>0</v>
      </c>
      <c r="L20" s="44">
        <v>29</v>
      </c>
      <c r="M20" s="45">
        <v>29</v>
      </c>
      <c r="N20" s="44">
        <v>0</v>
      </c>
      <c r="O20" s="44">
        <v>4</v>
      </c>
      <c r="P20" s="44">
        <v>119</v>
      </c>
      <c r="Q20" s="45">
        <v>123</v>
      </c>
      <c r="R20" s="44">
        <v>0</v>
      </c>
      <c r="S20" s="44">
        <v>21</v>
      </c>
      <c r="T20" s="44">
        <v>360</v>
      </c>
      <c r="U20" s="45">
        <v>381</v>
      </c>
      <c r="V20" s="44">
        <v>0</v>
      </c>
      <c r="W20" s="44">
        <v>2</v>
      </c>
      <c r="X20" s="44">
        <v>33</v>
      </c>
      <c r="Y20" s="138">
        <v>35</v>
      </c>
    </row>
    <row r="21" ht="15.75" customHeight="1" outlineLevel="1" spans="1:25">
      <c r="A21" s="43" t="s">
        <v>37</v>
      </c>
      <c r="B21" s="44">
        <v>0</v>
      </c>
      <c r="C21" s="44">
        <v>24</v>
      </c>
      <c r="D21" s="44">
        <v>1456</v>
      </c>
      <c r="E21" s="45">
        <v>1480</v>
      </c>
      <c r="F21" s="44">
        <v>0</v>
      </c>
      <c r="G21" s="44">
        <v>1</v>
      </c>
      <c r="H21" s="44">
        <v>69</v>
      </c>
      <c r="I21" s="45">
        <v>70</v>
      </c>
      <c r="J21" s="44">
        <v>0</v>
      </c>
      <c r="K21" s="44">
        <v>1</v>
      </c>
      <c r="L21" s="44">
        <v>55</v>
      </c>
      <c r="M21" s="45">
        <v>56</v>
      </c>
      <c r="N21" s="44">
        <v>0</v>
      </c>
      <c r="O21" s="44">
        <v>5</v>
      </c>
      <c r="P21" s="44">
        <v>239</v>
      </c>
      <c r="Q21" s="45">
        <v>244</v>
      </c>
      <c r="R21" s="44">
        <v>0</v>
      </c>
      <c r="S21" s="44">
        <v>21</v>
      </c>
      <c r="T21" s="44">
        <v>1341</v>
      </c>
      <c r="U21" s="45">
        <v>1362</v>
      </c>
      <c r="V21" s="44">
        <v>0</v>
      </c>
      <c r="W21" s="44">
        <v>0</v>
      </c>
      <c r="X21" s="44">
        <v>64</v>
      </c>
      <c r="Y21" s="138">
        <v>64</v>
      </c>
    </row>
    <row r="22" ht="15.75" customHeight="1" outlineLevel="1" spans="1:25">
      <c r="A22" s="43" t="s">
        <v>38</v>
      </c>
      <c r="B22" s="44">
        <v>0</v>
      </c>
      <c r="C22" s="44">
        <v>10</v>
      </c>
      <c r="D22" s="44">
        <v>447</v>
      </c>
      <c r="E22" s="45">
        <v>457</v>
      </c>
      <c r="F22" s="44">
        <v>0</v>
      </c>
      <c r="G22" s="44">
        <v>2</v>
      </c>
      <c r="H22" s="44">
        <v>50</v>
      </c>
      <c r="I22" s="45">
        <v>52</v>
      </c>
      <c r="J22" s="44">
        <v>0</v>
      </c>
      <c r="K22" s="44">
        <v>0</v>
      </c>
      <c r="L22" s="44">
        <v>32</v>
      </c>
      <c r="M22" s="45">
        <v>32</v>
      </c>
      <c r="N22" s="44">
        <v>0</v>
      </c>
      <c r="O22" s="44">
        <v>5</v>
      </c>
      <c r="P22" s="44">
        <v>50</v>
      </c>
      <c r="Q22" s="45">
        <v>55</v>
      </c>
      <c r="R22" s="44">
        <v>0</v>
      </c>
      <c r="S22" s="44">
        <v>7</v>
      </c>
      <c r="T22" s="44">
        <v>479</v>
      </c>
      <c r="U22" s="45">
        <v>486</v>
      </c>
      <c r="V22" s="44">
        <v>0</v>
      </c>
      <c r="W22" s="44">
        <v>2</v>
      </c>
      <c r="X22" s="44">
        <v>48</v>
      </c>
      <c r="Y22" s="138">
        <v>50</v>
      </c>
    </row>
    <row r="23" ht="15.75" customHeight="1" outlineLevel="1" spans="1:25">
      <c r="A23" s="46" t="s">
        <v>39</v>
      </c>
      <c r="B23" s="47"/>
      <c r="C23" s="47"/>
      <c r="D23" s="47"/>
      <c r="E23" s="48"/>
      <c r="F23" s="49"/>
      <c r="G23" s="49"/>
      <c r="H23" s="49"/>
      <c r="I23" s="48"/>
      <c r="J23" s="49"/>
      <c r="K23" s="49"/>
      <c r="L23" s="49"/>
      <c r="M23" s="48"/>
      <c r="N23" s="49"/>
      <c r="O23" s="49"/>
      <c r="P23" s="49"/>
      <c r="Q23" s="48"/>
      <c r="R23" s="49"/>
      <c r="S23" s="49"/>
      <c r="T23" s="49"/>
      <c r="U23" s="48"/>
      <c r="V23" s="49"/>
      <c r="W23" s="49"/>
      <c r="X23" s="49"/>
      <c r="Y23" s="152"/>
    </row>
    <row r="24" ht="15.75" customHeight="1" outlineLevel="1" spans="1:25">
      <c r="A24" s="43" t="s">
        <v>40</v>
      </c>
      <c r="B24" s="44">
        <v>1</v>
      </c>
      <c r="C24" s="44">
        <v>6</v>
      </c>
      <c r="D24" s="44">
        <v>426</v>
      </c>
      <c r="E24" s="45">
        <v>433</v>
      </c>
      <c r="F24" s="44">
        <v>0</v>
      </c>
      <c r="G24" s="44">
        <v>0</v>
      </c>
      <c r="H24" s="44">
        <v>9</v>
      </c>
      <c r="I24" s="45">
        <v>9</v>
      </c>
      <c r="J24" s="44">
        <v>0</v>
      </c>
      <c r="K24" s="44">
        <v>0</v>
      </c>
      <c r="L24" s="44">
        <v>5</v>
      </c>
      <c r="M24" s="45">
        <v>5</v>
      </c>
      <c r="N24" s="44">
        <v>1</v>
      </c>
      <c r="O24" s="44">
        <v>4</v>
      </c>
      <c r="P24" s="44">
        <v>62</v>
      </c>
      <c r="Q24" s="45">
        <v>67</v>
      </c>
      <c r="R24" s="44">
        <v>0</v>
      </c>
      <c r="S24" s="44">
        <v>2</v>
      </c>
      <c r="T24" s="44">
        <v>378</v>
      </c>
      <c r="U24" s="45">
        <v>380</v>
      </c>
      <c r="V24" s="44">
        <v>0</v>
      </c>
      <c r="W24" s="44">
        <v>0</v>
      </c>
      <c r="X24" s="44">
        <v>10</v>
      </c>
      <c r="Y24" s="138">
        <v>10</v>
      </c>
    </row>
    <row r="25" ht="15.75" customHeight="1" outlineLevel="1" spans="1:25">
      <c r="A25" s="43" t="s">
        <v>41</v>
      </c>
      <c r="B25" s="44">
        <v>0</v>
      </c>
      <c r="C25" s="44">
        <v>0</v>
      </c>
      <c r="D25" s="44">
        <v>0</v>
      </c>
      <c r="E25" s="45">
        <v>0</v>
      </c>
      <c r="F25" s="44">
        <v>0</v>
      </c>
      <c r="G25" s="44">
        <v>0</v>
      </c>
      <c r="H25" s="44">
        <v>2</v>
      </c>
      <c r="I25" s="45">
        <v>2</v>
      </c>
      <c r="J25" s="44">
        <v>0</v>
      </c>
      <c r="K25" s="44">
        <v>0</v>
      </c>
      <c r="L25" s="44">
        <v>0</v>
      </c>
      <c r="M25" s="45">
        <v>0</v>
      </c>
      <c r="N25" s="44">
        <v>0</v>
      </c>
      <c r="O25" s="44">
        <v>0</v>
      </c>
      <c r="P25" s="44">
        <v>2</v>
      </c>
      <c r="Q25" s="45">
        <v>2</v>
      </c>
      <c r="R25" s="44">
        <v>0</v>
      </c>
      <c r="S25" s="44">
        <v>0</v>
      </c>
      <c r="T25" s="44">
        <v>0</v>
      </c>
      <c r="U25" s="45">
        <v>0</v>
      </c>
      <c r="V25" s="44">
        <v>0</v>
      </c>
      <c r="W25" s="44">
        <v>0</v>
      </c>
      <c r="X25" s="44">
        <v>1</v>
      </c>
      <c r="Y25" s="138">
        <v>1</v>
      </c>
    </row>
    <row r="26" ht="15.75" customHeight="1" outlineLevel="1" spans="1:25">
      <c r="A26" s="46" t="s">
        <v>42</v>
      </c>
      <c r="B26" s="47"/>
      <c r="C26" s="47"/>
      <c r="D26" s="47"/>
      <c r="E26" s="48"/>
      <c r="F26" s="49"/>
      <c r="G26" s="49"/>
      <c r="H26" s="49"/>
      <c r="I26" s="48"/>
      <c r="J26" s="49"/>
      <c r="K26" s="49"/>
      <c r="L26" s="49"/>
      <c r="M26" s="48"/>
      <c r="N26" s="49"/>
      <c r="O26" s="49"/>
      <c r="P26" s="49"/>
      <c r="Q26" s="48"/>
      <c r="R26" s="49"/>
      <c r="S26" s="49"/>
      <c r="T26" s="49"/>
      <c r="U26" s="48"/>
      <c r="V26" s="49"/>
      <c r="W26" s="49"/>
      <c r="X26" s="49"/>
      <c r="Y26" s="152"/>
    </row>
    <row r="27" ht="15.75" customHeight="1" outlineLevel="1" spans="1:25">
      <c r="A27" s="43" t="s">
        <v>43</v>
      </c>
      <c r="B27" s="44">
        <v>0</v>
      </c>
      <c r="C27" s="44">
        <v>0</v>
      </c>
      <c r="D27" s="44">
        <v>97</v>
      </c>
      <c r="E27" s="45">
        <v>97</v>
      </c>
      <c r="F27" s="44">
        <v>0</v>
      </c>
      <c r="G27" s="44">
        <v>0</v>
      </c>
      <c r="H27" s="44">
        <v>2</v>
      </c>
      <c r="I27" s="45">
        <v>2</v>
      </c>
      <c r="J27" s="44">
        <v>0</v>
      </c>
      <c r="K27" s="44">
        <v>0</v>
      </c>
      <c r="L27" s="44">
        <v>1</v>
      </c>
      <c r="M27" s="45">
        <v>1</v>
      </c>
      <c r="N27" s="44">
        <v>0</v>
      </c>
      <c r="O27" s="44">
        <v>0</v>
      </c>
      <c r="P27" s="44">
        <v>22</v>
      </c>
      <c r="Q27" s="45">
        <v>22</v>
      </c>
      <c r="R27" s="44">
        <v>0</v>
      </c>
      <c r="S27" s="44">
        <v>0</v>
      </c>
      <c r="T27" s="44">
        <v>78</v>
      </c>
      <c r="U27" s="45">
        <v>78</v>
      </c>
      <c r="V27" s="44">
        <v>0</v>
      </c>
      <c r="W27" s="44">
        <v>0</v>
      </c>
      <c r="X27" s="44">
        <v>2</v>
      </c>
      <c r="Y27" s="138">
        <v>2</v>
      </c>
    </row>
    <row r="28" ht="15.75" customHeight="1" outlineLevel="1" spans="1:25">
      <c r="A28" s="43" t="s">
        <v>44</v>
      </c>
      <c r="B28" s="44">
        <v>0</v>
      </c>
      <c r="C28" s="44">
        <v>1</v>
      </c>
      <c r="D28" s="44">
        <v>70</v>
      </c>
      <c r="E28" s="45">
        <v>71</v>
      </c>
      <c r="F28" s="44">
        <v>0</v>
      </c>
      <c r="G28" s="44">
        <v>0</v>
      </c>
      <c r="H28" s="44">
        <v>0</v>
      </c>
      <c r="I28" s="45">
        <v>0</v>
      </c>
      <c r="J28" s="44">
        <v>0</v>
      </c>
      <c r="K28" s="44">
        <v>0</v>
      </c>
      <c r="L28" s="44">
        <v>4</v>
      </c>
      <c r="M28" s="45">
        <v>4</v>
      </c>
      <c r="N28" s="44">
        <v>0</v>
      </c>
      <c r="O28" s="44">
        <v>1</v>
      </c>
      <c r="P28" s="44">
        <v>36</v>
      </c>
      <c r="Q28" s="45">
        <v>37</v>
      </c>
      <c r="R28" s="44">
        <v>0</v>
      </c>
      <c r="S28" s="44">
        <v>0</v>
      </c>
      <c r="T28" s="44">
        <v>38</v>
      </c>
      <c r="U28" s="45">
        <v>38</v>
      </c>
      <c r="V28" s="44">
        <v>0</v>
      </c>
      <c r="W28" s="44">
        <v>0</v>
      </c>
      <c r="X28" s="44">
        <v>0</v>
      </c>
      <c r="Y28" s="138">
        <v>0</v>
      </c>
    </row>
    <row r="29" s="2" customFormat="1" ht="15.75" customHeight="1" outlineLevel="1" spans="1:25">
      <c r="A29" s="50" t="s">
        <v>45</v>
      </c>
      <c r="B29" s="51">
        <v>0</v>
      </c>
      <c r="C29" s="51">
        <v>22</v>
      </c>
      <c r="D29" s="51">
        <v>621</v>
      </c>
      <c r="E29" s="45">
        <v>643</v>
      </c>
      <c r="F29" s="51">
        <v>0</v>
      </c>
      <c r="G29" s="51">
        <v>6</v>
      </c>
      <c r="H29" s="51">
        <v>113</v>
      </c>
      <c r="I29" s="45">
        <v>119</v>
      </c>
      <c r="J29" s="51">
        <v>0</v>
      </c>
      <c r="K29" s="51">
        <v>0</v>
      </c>
      <c r="L29" s="51">
        <v>31</v>
      </c>
      <c r="M29" s="45">
        <v>31</v>
      </c>
      <c r="N29" s="51">
        <v>0</v>
      </c>
      <c r="O29" s="51">
        <v>10</v>
      </c>
      <c r="P29" s="51">
        <v>539</v>
      </c>
      <c r="Q29" s="45">
        <v>549</v>
      </c>
      <c r="R29" s="131">
        <v>0</v>
      </c>
      <c r="S29" s="131">
        <v>18</v>
      </c>
      <c r="T29" s="131">
        <v>226</v>
      </c>
      <c r="U29" s="45">
        <v>244</v>
      </c>
      <c r="V29" s="51">
        <v>0</v>
      </c>
      <c r="W29" s="51">
        <v>8</v>
      </c>
      <c r="X29" s="51">
        <v>106</v>
      </c>
      <c r="Y29" s="138">
        <v>114</v>
      </c>
    </row>
    <row r="30" s="2" customFormat="1" ht="15.75" customHeight="1" outlineLevel="1" spans="1:25">
      <c r="A30" s="50" t="s">
        <v>46</v>
      </c>
      <c r="B30" s="51">
        <v>0</v>
      </c>
      <c r="C30" s="51">
        <v>0</v>
      </c>
      <c r="D30" s="51">
        <v>0</v>
      </c>
      <c r="E30" s="45">
        <v>0</v>
      </c>
      <c r="F30" s="51">
        <v>0</v>
      </c>
      <c r="G30" s="51">
        <v>0</v>
      </c>
      <c r="H30" s="51">
        <v>0</v>
      </c>
      <c r="I30" s="45">
        <v>0</v>
      </c>
      <c r="J30" s="51">
        <v>0</v>
      </c>
      <c r="K30" s="51">
        <v>0</v>
      </c>
      <c r="L30" s="51">
        <v>0</v>
      </c>
      <c r="M30" s="45">
        <v>0</v>
      </c>
      <c r="N30" s="51">
        <v>0</v>
      </c>
      <c r="O30" s="51">
        <v>0</v>
      </c>
      <c r="P30" s="51">
        <v>0</v>
      </c>
      <c r="Q30" s="45">
        <v>0</v>
      </c>
      <c r="R30" s="131">
        <v>0</v>
      </c>
      <c r="S30" s="131">
        <v>0</v>
      </c>
      <c r="T30" s="131">
        <v>0</v>
      </c>
      <c r="U30" s="45">
        <v>0</v>
      </c>
      <c r="V30" s="51">
        <v>0</v>
      </c>
      <c r="W30" s="51">
        <v>0</v>
      </c>
      <c r="X30" s="51">
        <v>0</v>
      </c>
      <c r="Y30" s="138">
        <v>0</v>
      </c>
    </row>
    <row r="31" s="2" customFormat="1" ht="15.75" customHeight="1" outlineLevel="1" spans="1:25">
      <c r="A31" s="50" t="s">
        <v>47</v>
      </c>
      <c r="B31" s="51">
        <v>0</v>
      </c>
      <c r="C31" s="51">
        <v>0</v>
      </c>
      <c r="D31" s="51">
        <v>0</v>
      </c>
      <c r="E31" s="45">
        <v>0</v>
      </c>
      <c r="F31" s="51">
        <v>0</v>
      </c>
      <c r="G31" s="51">
        <v>0</v>
      </c>
      <c r="H31" s="51">
        <v>0</v>
      </c>
      <c r="I31" s="45">
        <v>0</v>
      </c>
      <c r="J31" s="51">
        <v>0</v>
      </c>
      <c r="K31" s="51">
        <v>0</v>
      </c>
      <c r="L31" s="51">
        <v>0</v>
      </c>
      <c r="M31" s="45">
        <v>0</v>
      </c>
      <c r="N31" s="51">
        <v>0</v>
      </c>
      <c r="O31" s="51">
        <v>0</v>
      </c>
      <c r="P31" s="51">
        <v>0</v>
      </c>
      <c r="Q31" s="45">
        <v>0</v>
      </c>
      <c r="R31" s="131">
        <v>0</v>
      </c>
      <c r="S31" s="131">
        <v>0</v>
      </c>
      <c r="T31" s="131">
        <v>0</v>
      </c>
      <c r="U31" s="45">
        <v>0</v>
      </c>
      <c r="V31" s="51">
        <v>0</v>
      </c>
      <c r="W31" s="51">
        <v>0</v>
      </c>
      <c r="X31" s="51">
        <v>0</v>
      </c>
      <c r="Y31" s="138">
        <v>0</v>
      </c>
    </row>
    <row r="32" s="2" customFormat="1" ht="15.75" customHeight="1" outlineLevel="1" spans="1:25">
      <c r="A32" s="50" t="s">
        <v>48</v>
      </c>
      <c r="B32" s="51">
        <v>0</v>
      </c>
      <c r="C32" s="51">
        <v>0</v>
      </c>
      <c r="D32" s="51">
        <v>0</v>
      </c>
      <c r="E32" s="45">
        <v>0</v>
      </c>
      <c r="F32" s="51">
        <v>0</v>
      </c>
      <c r="G32" s="51">
        <v>0</v>
      </c>
      <c r="H32" s="51">
        <v>0</v>
      </c>
      <c r="I32" s="45">
        <v>0</v>
      </c>
      <c r="J32" s="51">
        <v>0</v>
      </c>
      <c r="K32" s="51">
        <v>0</v>
      </c>
      <c r="L32" s="51">
        <v>0</v>
      </c>
      <c r="M32" s="45">
        <v>0</v>
      </c>
      <c r="N32" s="51">
        <v>0</v>
      </c>
      <c r="O32" s="51">
        <v>0</v>
      </c>
      <c r="P32" s="51">
        <v>0</v>
      </c>
      <c r="Q32" s="45">
        <v>0</v>
      </c>
      <c r="R32" s="131">
        <v>0</v>
      </c>
      <c r="S32" s="131">
        <v>0</v>
      </c>
      <c r="T32" s="131">
        <v>0</v>
      </c>
      <c r="U32" s="45">
        <v>0</v>
      </c>
      <c r="V32" s="51">
        <v>0</v>
      </c>
      <c r="W32" s="51">
        <v>0</v>
      </c>
      <c r="X32" s="51">
        <v>0</v>
      </c>
      <c r="Y32" s="138">
        <v>0</v>
      </c>
    </row>
    <row r="33" s="2" customFormat="1" ht="15.75" customHeight="1" outlineLevel="1" spans="1:25">
      <c r="A33" s="50" t="s">
        <v>49</v>
      </c>
      <c r="B33" s="51">
        <v>0</v>
      </c>
      <c r="C33" s="51">
        <v>0</v>
      </c>
      <c r="D33" s="51">
        <v>16</v>
      </c>
      <c r="E33" s="45">
        <v>16</v>
      </c>
      <c r="F33" s="51">
        <v>0</v>
      </c>
      <c r="G33" s="51">
        <v>0</v>
      </c>
      <c r="H33" s="51">
        <v>0</v>
      </c>
      <c r="I33" s="45">
        <v>0</v>
      </c>
      <c r="J33" s="51">
        <v>0</v>
      </c>
      <c r="K33" s="51">
        <v>0</v>
      </c>
      <c r="L33" s="51">
        <v>5</v>
      </c>
      <c r="M33" s="45">
        <v>5</v>
      </c>
      <c r="N33" s="51">
        <v>0</v>
      </c>
      <c r="O33" s="51">
        <v>0</v>
      </c>
      <c r="P33" s="51">
        <v>21</v>
      </c>
      <c r="Q33" s="45">
        <v>21</v>
      </c>
      <c r="R33" s="131">
        <v>0</v>
      </c>
      <c r="S33" s="131">
        <v>0</v>
      </c>
      <c r="T33" s="131">
        <v>0</v>
      </c>
      <c r="U33" s="45">
        <v>0</v>
      </c>
      <c r="V33" s="51">
        <v>0</v>
      </c>
      <c r="W33" s="51">
        <v>0</v>
      </c>
      <c r="X33" s="51">
        <v>0</v>
      </c>
      <c r="Y33" s="138">
        <v>0</v>
      </c>
    </row>
    <row r="34" s="3" customFormat="1" ht="15.75" customHeight="1" outlineLevel="1" spans="1:25">
      <c r="A34" s="52" t="s">
        <v>50</v>
      </c>
      <c r="B34" s="45">
        <v>1</v>
      </c>
      <c r="C34" s="45">
        <f t="shared" ref="C34:Y34" si="0">SUM(C16:C33)</f>
        <v>90</v>
      </c>
      <c r="D34" s="45">
        <f t="shared" si="0"/>
        <v>4034</v>
      </c>
      <c r="E34" s="45">
        <f t="shared" si="0"/>
        <v>4125</v>
      </c>
      <c r="F34" s="45">
        <f t="shared" si="0"/>
        <v>0</v>
      </c>
      <c r="G34" s="45">
        <f t="shared" si="0"/>
        <v>18</v>
      </c>
      <c r="H34" s="45">
        <f t="shared" si="0"/>
        <v>294</v>
      </c>
      <c r="I34" s="45">
        <f t="shared" si="0"/>
        <v>312</v>
      </c>
      <c r="J34" s="45">
        <f t="shared" si="0"/>
        <v>0</v>
      </c>
      <c r="K34" s="45">
        <f t="shared" si="0"/>
        <v>1</v>
      </c>
      <c r="L34" s="45">
        <f t="shared" si="0"/>
        <v>172</v>
      </c>
      <c r="M34" s="45">
        <f t="shared" si="0"/>
        <v>173</v>
      </c>
      <c r="N34" s="45">
        <f t="shared" si="0"/>
        <v>1</v>
      </c>
      <c r="O34" s="45">
        <f t="shared" si="0"/>
        <v>40</v>
      </c>
      <c r="P34" s="45">
        <f t="shared" si="0"/>
        <v>1439</v>
      </c>
      <c r="Q34" s="45">
        <f t="shared" si="0"/>
        <v>1480</v>
      </c>
      <c r="R34" s="45">
        <f t="shared" si="0"/>
        <v>0</v>
      </c>
      <c r="S34" s="45">
        <f t="shared" si="0"/>
        <v>69</v>
      </c>
      <c r="T34" s="45">
        <f t="shared" si="0"/>
        <v>3061</v>
      </c>
      <c r="U34" s="45">
        <f t="shared" si="0"/>
        <v>3130</v>
      </c>
      <c r="V34" s="45">
        <f t="shared" si="0"/>
        <v>0</v>
      </c>
      <c r="W34" s="45">
        <f t="shared" si="0"/>
        <v>12</v>
      </c>
      <c r="X34" s="45">
        <f t="shared" si="0"/>
        <v>278</v>
      </c>
      <c r="Y34" s="138">
        <f t="shared" si="0"/>
        <v>290</v>
      </c>
    </row>
    <row r="35" ht="15.75" customHeight="1" spans="1:25">
      <c r="A35" s="53" t="s">
        <v>51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146"/>
    </row>
    <row r="36" ht="15.75" customHeight="1" outlineLevel="1" spans="1:25">
      <c r="A36" s="32" t="s">
        <v>52</v>
      </c>
      <c r="B36" s="54" t="s">
        <v>13</v>
      </c>
      <c r="C36" s="18"/>
      <c r="D36" s="26"/>
      <c r="E36" s="55" t="s">
        <v>28</v>
      </c>
      <c r="F36" s="21"/>
      <c r="G36" s="33" t="s">
        <v>15</v>
      </c>
      <c r="H36" s="20"/>
      <c r="I36" s="20"/>
      <c r="J36" s="20"/>
      <c r="K36" s="21"/>
      <c r="L36" s="33" t="s">
        <v>52</v>
      </c>
      <c r="M36" s="20"/>
      <c r="N36" s="20"/>
      <c r="O36" s="20"/>
      <c r="P36" s="21"/>
      <c r="Q36" s="54" t="s">
        <v>13</v>
      </c>
      <c r="R36" s="18"/>
      <c r="S36" s="26"/>
      <c r="T36" s="55" t="s">
        <v>28</v>
      </c>
      <c r="U36" s="21"/>
      <c r="V36" s="33" t="s">
        <v>15</v>
      </c>
      <c r="W36" s="20"/>
      <c r="X36" s="20"/>
      <c r="Y36" s="145"/>
    </row>
    <row r="37" ht="15.75" customHeight="1" outlineLevel="1" spans="1:25">
      <c r="A37" s="56"/>
      <c r="B37" s="301" t="s">
        <v>29</v>
      </c>
      <c r="C37" s="57" t="s">
        <v>30</v>
      </c>
      <c r="D37" s="57" t="s">
        <v>31</v>
      </c>
      <c r="E37" s="23"/>
      <c r="F37" s="25"/>
      <c r="G37" s="23"/>
      <c r="H37" s="24"/>
      <c r="I37" s="24"/>
      <c r="J37" s="24"/>
      <c r="K37" s="25"/>
      <c r="L37" s="23"/>
      <c r="M37" s="24"/>
      <c r="N37" s="24"/>
      <c r="O37" s="24"/>
      <c r="P37" s="25"/>
      <c r="Q37" s="301" t="s">
        <v>29</v>
      </c>
      <c r="R37" s="57" t="s">
        <v>30</v>
      </c>
      <c r="S37" s="57" t="s">
        <v>31</v>
      </c>
      <c r="T37" s="23"/>
      <c r="U37" s="25"/>
      <c r="V37" s="23"/>
      <c r="W37" s="24"/>
      <c r="X37" s="24"/>
      <c r="Y37" s="146"/>
    </row>
    <row r="38" ht="15.75" customHeight="1" outlineLevel="1" spans="1:25">
      <c r="A38" s="58" t="s">
        <v>53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153"/>
    </row>
    <row r="39" ht="51.6" customHeight="1" outlineLevel="1" spans="1:25">
      <c r="A39" s="60" t="s">
        <v>54</v>
      </c>
      <c r="B39" s="44">
        <v>0</v>
      </c>
      <c r="C39" s="44">
        <v>23</v>
      </c>
      <c r="D39" s="44">
        <v>159</v>
      </c>
      <c r="E39" s="61">
        <f t="shared" ref="E39:E45" si="1">SUM(B39:D39)</f>
        <v>182</v>
      </c>
      <c r="F39" s="62"/>
      <c r="G39" s="63" t="s">
        <v>55</v>
      </c>
      <c r="H39" s="64"/>
      <c r="I39" s="64"/>
      <c r="J39" s="64"/>
      <c r="K39" s="67"/>
      <c r="L39" s="60" t="s">
        <v>56</v>
      </c>
      <c r="M39" s="64"/>
      <c r="N39" s="64"/>
      <c r="O39" s="64"/>
      <c r="P39" s="67"/>
      <c r="Q39" s="44">
        <v>0</v>
      </c>
      <c r="R39" s="44">
        <v>2</v>
      </c>
      <c r="S39" s="44">
        <v>156</v>
      </c>
      <c r="T39" s="61">
        <v>158</v>
      </c>
      <c r="U39" s="67"/>
      <c r="V39" s="63"/>
      <c r="W39" s="64"/>
      <c r="X39" s="64"/>
      <c r="Y39" s="154"/>
    </row>
    <row r="40" ht="51.6" customHeight="1" outlineLevel="1" spans="1:25">
      <c r="A40" s="65" t="s">
        <v>57</v>
      </c>
      <c r="B40" s="66">
        <v>1</v>
      </c>
      <c r="C40" s="66">
        <v>6</v>
      </c>
      <c r="D40" s="66">
        <v>94</v>
      </c>
      <c r="E40" s="61">
        <f t="shared" si="1"/>
        <v>101</v>
      </c>
      <c r="F40" s="67"/>
      <c r="G40" s="63"/>
      <c r="H40" s="64"/>
      <c r="I40" s="64"/>
      <c r="J40" s="64"/>
      <c r="K40" s="67"/>
      <c r="L40" s="60" t="s">
        <v>58</v>
      </c>
      <c r="M40" s="64"/>
      <c r="N40" s="64"/>
      <c r="O40" s="64"/>
      <c r="P40" s="67"/>
      <c r="Q40" s="44">
        <v>1</v>
      </c>
      <c r="R40" s="44">
        <v>16</v>
      </c>
      <c r="S40" s="44">
        <v>203</v>
      </c>
      <c r="T40" s="61">
        <v>220</v>
      </c>
      <c r="U40" s="67"/>
      <c r="V40" s="63"/>
      <c r="W40" s="64"/>
      <c r="X40" s="64"/>
      <c r="Y40" s="154"/>
    </row>
    <row r="41" ht="53.1" customHeight="1" outlineLevel="1" spans="1:25">
      <c r="A41" s="68" t="s">
        <v>59</v>
      </c>
      <c r="B41" s="44">
        <v>1</v>
      </c>
      <c r="C41" s="44">
        <v>6</v>
      </c>
      <c r="D41" s="44">
        <v>90</v>
      </c>
      <c r="E41" s="61">
        <f t="shared" si="1"/>
        <v>97</v>
      </c>
      <c r="F41" s="67"/>
      <c r="G41" s="63"/>
      <c r="H41" s="64"/>
      <c r="I41" s="64"/>
      <c r="J41" s="64"/>
      <c r="K41" s="67"/>
      <c r="L41" s="60" t="s">
        <v>60</v>
      </c>
      <c r="M41" s="64"/>
      <c r="N41" s="64"/>
      <c r="O41" s="64"/>
      <c r="P41" s="67"/>
      <c r="Q41" s="44">
        <v>0</v>
      </c>
      <c r="R41" s="44">
        <v>2</v>
      </c>
      <c r="S41" s="44">
        <v>0</v>
      </c>
      <c r="T41" s="61">
        <v>2</v>
      </c>
      <c r="U41" s="67"/>
      <c r="V41" s="63"/>
      <c r="W41" s="64"/>
      <c r="X41" s="64"/>
      <c r="Y41" s="154"/>
    </row>
    <row r="42" ht="53.1" customHeight="1" outlineLevel="1" spans="1:25">
      <c r="A42" s="68" t="s">
        <v>61</v>
      </c>
      <c r="B42" s="44">
        <v>0</v>
      </c>
      <c r="C42" s="44">
        <v>0</v>
      </c>
      <c r="D42" s="44">
        <v>4</v>
      </c>
      <c r="E42" s="61">
        <f t="shared" si="1"/>
        <v>4</v>
      </c>
      <c r="F42" s="67"/>
      <c r="G42" s="63"/>
      <c r="H42" s="64"/>
      <c r="I42" s="64"/>
      <c r="J42" s="64"/>
      <c r="K42" s="67"/>
      <c r="L42" s="60" t="s">
        <v>62</v>
      </c>
      <c r="M42" s="64"/>
      <c r="N42" s="64"/>
      <c r="O42" s="64"/>
      <c r="P42" s="67"/>
      <c r="Q42" s="44">
        <v>1</v>
      </c>
      <c r="R42" s="44">
        <v>1</v>
      </c>
      <c r="S42" s="44">
        <v>48</v>
      </c>
      <c r="T42" s="61">
        <v>50</v>
      </c>
      <c r="U42" s="67"/>
      <c r="V42" s="63"/>
      <c r="W42" s="64"/>
      <c r="X42" s="64"/>
      <c r="Y42" s="154"/>
    </row>
    <row r="43" ht="45" customHeight="1" outlineLevel="1" spans="1:25">
      <c r="A43" s="65" t="s">
        <v>63</v>
      </c>
      <c r="B43" s="66">
        <v>1</v>
      </c>
      <c r="C43" s="66">
        <v>13</v>
      </c>
      <c r="D43" s="66">
        <v>199</v>
      </c>
      <c r="E43" s="61">
        <f t="shared" si="1"/>
        <v>213</v>
      </c>
      <c r="F43" s="67"/>
      <c r="G43" s="69" t="s">
        <v>64</v>
      </c>
      <c r="H43" s="70"/>
      <c r="I43" s="103">
        <v>0</v>
      </c>
      <c r="J43" s="103">
        <v>0</v>
      </c>
      <c r="K43" s="103">
        <v>0</v>
      </c>
      <c r="L43" s="60" t="s">
        <v>65</v>
      </c>
      <c r="M43" s="64"/>
      <c r="N43" s="64"/>
      <c r="O43" s="64"/>
      <c r="P43" s="67"/>
      <c r="Q43" s="44"/>
      <c r="R43" s="44"/>
      <c r="S43" s="44"/>
      <c r="T43" s="61">
        <v>0</v>
      </c>
      <c r="U43" s="67"/>
      <c r="V43" s="63"/>
      <c r="W43" s="64"/>
      <c r="X43" s="64"/>
      <c r="Y43" s="154"/>
    </row>
    <row r="44" ht="45" customHeight="1" outlineLevel="1" spans="1:25">
      <c r="A44" s="68" t="s">
        <v>66</v>
      </c>
      <c r="B44" s="44">
        <v>1</v>
      </c>
      <c r="C44" s="44">
        <v>13</v>
      </c>
      <c r="D44" s="44">
        <v>186</v>
      </c>
      <c r="E44" s="61">
        <f t="shared" si="1"/>
        <v>200</v>
      </c>
      <c r="F44" s="67"/>
      <c r="G44" s="61" t="s">
        <v>67</v>
      </c>
      <c r="H44" s="67"/>
      <c r="I44" s="44">
        <v>0</v>
      </c>
      <c r="J44" s="302" t="s">
        <v>68</v>
      </c>
      <c r="K44" s="44">
        <v>0</v>
      </c>
      <c r="L44" s="104" t="s">
        <v>69</v>
      </c>
      <c r="M44" s="105"/>
      <c r="N44" s="105"/>
      <c r="O44" s="105"/>
      <c r="P44" s="106"/>
      <c r="Q44" s="51">
        <v>0</v>
      </c>
      <c r="R44" s="51">
        <v>5</v>
      </c>
      <c r="S44" s="51">
        <v>123</v>
      </c>
      <c r="T44" s="61">
        <v>128</v>
      </c>
      <c r="U44" s="67"/>
      <c r="V44" s="132" t="s">
        <v>70</v>
      </c>
      <c r="W44" s="64"/>
      <c r="X44" s="64"/>
      <c r="Y44" s="154"/>
    </row>
    <row r="45" ht="45" customHeight="1" outlineLevel="1" spans="1:25">
      <c r="A45" s="71" t="s">
        <v>71</v>
      </c>
      <c r="B45" s="51">
        <v>0</v>
      </c>
      <c r="C45" s="51">
        <v>0</v>
      </c>
      <c r="D45" s="51">
        <v>13</v>
      </c>
      <c r="E45" s="61">
        <f t="shared" si="1"/>
        <v>13</v>
      </c>
      <c r="F45" s="67"/>
      <c r="G45" s="61" t="s">
        <v>72</v>
      </c>
      <c r="H45" s="67"/>
      <c r="I45" s="51">
        <v>0</v>
      </c>
      <c r="J45" s="51">
        <v>0</v>
      </c>
      <c r="K45" s="51">
        <v>0</v>
      </c>
      <c r="L45" s="60" t="s">
        <v>73</v>
      </c>
      <c r="M45" s="64"/>
      <c r="N45" s="64"/>
      <c r="O45" s="64"/>
      <c r="P45" s="67"/>
      <c r="Q45" s="44">
        <v>0</v>
      </c>
      <c r="R45" s="44">
        <v>0</v>
      </c>
      <c r="S45" s="44">
        <v>10</v>
      </c>
      <c r="T45" s="61">
        <v>10</v>
      </c>
      <c r="U45" s="67"/>
      <c r="V45" s="63"/>
      <c r="W45" s="64"/>
      <c r="X45" s="64"/>
      <c r="Y45" s="154"/>
    </row>
    <row r="46" ht="45" customHeight="1" outlineLevel="1" spans="1:25">
      <c r="A46" s="72" t="s">
        <v>74</v>
      </c>
      <c r="B46" s="73"/>
      <c r="C46" s="73"/>
      <c r="D46" s="73"/>
      <c r="E46" s="74">
        <v>0</v>
      </c>
      <c r="F46" s="70"/>
      <c r="G46" s="63"/>
      <c r="H46" s="64"/>
      <c r="I46" s="64"/>
      <c r="J46" s="64"/>
      <c r="K46" s="67"/>
      <c r="L46" s="104" t="s">
        <v>75</v>
      </c>
      <c r="M46" s="105"/>
      <c r="N46" s="105"/>
      <c r="O46" s="105"/>
      <c r="P46" s="106"/>
      <c r="Q46" s="51">
        <v>0</v>
      </c>
      <c r="R46" s="51">
        <v>5</v>
      </c>
      <c r="S46" s="51">
        <v>143</v>
      </c>
      <c r="T46" s="61">
        <v>148</v>
      </c>
      <c r="U46" s="67"/>
      <c r="V46" s="133" t="s">
        <v>76</v>
      </c>
      <c r="W46" s="64"/>
      <c r="X46" s="64"/>
      <c r="Y46" s="154"/>
    </row>
    <row r="47" ht="45" customHeight="1" outlineLevel="1" spans="1:25">
      <c r="A47" s="68" t="s">
        <v>77</v>
      </c>
      <c r="B47" s="44">
        <v>0</v>
      </c>
      <c r="C47" s="44">
        <v>27</v>
      </c>
      <c r="D47" s="44">
        <v>193</v>
      </c>
      <c r="E47" s="61">
        <f>SUM(B47:D47)</f>
        <v>220</v>
      </c>
      <c r="F47" s="67"/>
      <c r="G47" s="63"/>
      <c r="H47" s="64"/>
      <c r="I47" s="64"/>
      <c r="J47" s="64"/>
      <c r="K47" s="67"/>
      <c r="L47" s="60" t="s">
        <v>78</v>
      </c>
      <c r="M47" s="64"/>
      <c r="N47" s="64"/>
      <c r="O47" s="64"/>
      <c r="P47" s="67"/>
      <c r="Q47" s="44">
        <v>0</v>
      </c>
      <c r="R47" s="44">
        <v>1</v>
      </c>
      <c r="S47" s="44">
        <v>15</v>
      </c>
      <c r="T47" s="61">
        <v>16</v>
      </c>
      <c r="U47" s="67"/>
      <c r="V47" s="63"/>
      <c r="W47" s="64"/>
      <c r="X47" s="64"/>
      <c r="Y47" s="154"/>
    </row>
    <row r="48" ht="45" customHeight="1" outlineLevel="1" spans="1:25">
      <c r="A48" s="68" t="s">
        <v>79</v>
      </c>
      <c r="B48" s="44">
        <v>0</v>
      </c>
      <c r="C48" s="44">
        <v>2</v>
      </c>
      <c r="D48" s="44">
        <v>6</v>
      </c>
      <c r="E48" s="61">
        <f>SUM(B48:D48)</f>
        <v>8</v>
      </c>
      <c r="F48" s="67"/>
      <c r="G48" s="63"/>
      <c r="H48" s="64"/>
      <c r="I48" s="64"/>
      <c r="J48" s="64"/>
      <c r="K48" s="67"/>
      <c r="L48" s="104" t="s">
        <v>80</v>
      </c>
      <c r="M48" s="105"/>
      <c r="N48" s="105"/>
      <c r="O48" s="105"/>
      <c r="P48" s="106"/>
      <c r="Q48" s="51">
        <v>0</v>
      </c>
      <c r="R48" s="51">
        <v>3</v>
      </c>
      <c r="S48" s="51">
        <v>33</v>
      </c>
      <c r="T48" s="61">
        <v>36</v>
      </c>
      <c r="U48" s="67"/>
      <c r="V48" s="132" t="s">
        <v>81</v>
      </c>
      <c r="W48" s="64"/>
      <c r="X48" s="64"/>
      <c r="Y48" s="154"/>
    </row>
    <row r="49" ht="45" customHeight="1" outlineLevel="1" spans="1:25">
      <c r="A49" s="68" t="s">
        <v>82</v>
      </c>
      <c r="B49" s="44">
        <v>0</v>
      </c>
      <c r="C49" s="44">
        <v>0</v>
      </c>
      <c r="D49" s="44">
        <v>26</v>
      </c>
      <c r="E49" s="61">
        <f>SUM(B49:D49)</f>
        <v>26</v>
      </c>
      <c r="F49" s="67"/>
      <c r="G49" s="75"/>
      <c r="H49" s="76"/>
      <c r="I49" s="76"/>
      <c r="J49" s="76"/>
      <c r="K49" s="79"/>
      <c r="L49" s="107" t="s">
        <v>83</v>
      </c>
      <c r="M49" s="76"/>
      <c r="N49" s="76"/>
      <c r="O49" s="76"/>
      <c r="P49" s="79"/>
      <c r="Q49" s="44">
        <v>0</v>
      </c>
      <c r="R49" s="44">
        <v>0</v>
      </c>
      <c r="S49" s="44">
        <v>1</v>
      </c>
      <c r="T49" s="78">
        <v>1</v>
      </c>
      <c r="U49" s="79"/>
      <c r="V49" s="75"/>
      <c r="W49" s="76"/>
      <c r="X49" s="76"/>
      <c r="Y49" s="155"/>
    </row>
    <row r="50" ht="46.5" outlineLevel="1" spans="1:25">
      <c r="A50" s="77" t="s">
        <v>84</v>
      </c>
      <c r="B50" s="44">
        <v>1</v>
      </c>
      <c r="C50" s="44">
        <v>14</v>
      </c>
      <c r="D50" s="44">
        <v>107</v>
      </c>
      <c r="E50" s="78">
        <f>SUM(B50:D50)</f>
        <v>122</v>
      </c>
      <c r="F50" s="79"/>
      <c r="G50" s="63"/>
      <c r="H50" s="64"/>
      <c r="I50" s="64"/>
      <c r="J50" s="64"/>
      <c r="K50" s="67"/>
      <c r="L50" s="108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56"/>
    </row>
    <row r="51" ht="15.75" customHeight="1" outlineLevel="1" spans="1:25">
      <c r="A51" s="32" t="s">
        <v>52</v>
      </c>
      <c r="B51" s="54" t="s">
        <v>13</v>
      </c>
      <c r="C51" s="18"/>
      <c r="D51" s="26"/>
      <c r="E51" s="55" t="s">
        <v>28</v>
      </c>
      <c r="F51" s="21"/>
      <c r="G51" s="33" t="s">
        <v>15</v>
      </c>
      <c r="H51" s="20"/>
      <c r="I51" s="20"/>
      <c r="J51" s="20"/>
      <c r="K51" s="21"/>
      <c r="L51" s="110" t="s">
        <v>52</v>
      </c>
      <c r="M51" s="111"/>
      <c r="N51" s="111"/>
      <c r="O51" s="111"/>
      <c r="P51" s="112"/>
      <c r="Q51" s="134" t="s">
        <v>13</v>
      </c>
      <c r="R51" s="24"/>
      <c r="S51" s="25"/>
      <c r="T51" s="135" t="s">
        <v>28</v>
      </c>
      <c r="U51" s="112"/>
      <c r="V51" s="110" t="s">
        <v>15</v>
      </c>
      <c r="W51" s="111"/>
      <c r="X51" s="111"/>
      <c r="Y51" s="147"/>
    </row>
    <row r="52" ht="15.75" customHeight="1" outlineLevel="1" spans="1:25">
      <c r="A52" s="56"/>
      <c r="B52" s="301" t="s">
        <v>29</v>
      </c>
      <c r="C52" s="57" t="s">
        <v>30</v>
      </c>
      <c r="D52" s="57" t="s">
        <v>31</v>
      </c>
      <c r="E52" s="23"/>
      <c r="F52" s="25"/>
      <c r="G52" s="23"/>
      <c r="H52" s="24"/>
      <c r="I52" s="24"/>
      <c r="J52" s="24"/>
      <c r="K52" s="25"/>
      <c r="L52" s="23"/>
      <c r="M52" s="24"/>
      <c r="N52" s="24"/>
      <c r="O52" s="24"/>
      <c r="P52" s="25"/>
      <c r="Q52" s="301" t="s">
        <v>29</v>
      </c>
      <c r="R52" s="57" t="s">
        <v>30</v>
      </c>
      <c r="S52" s="57" t="s">
        <v>31</v>
      </c>
      <c r="T52" s="23"/>
      <c r="U52" s="25"/>
      <c r="V52" s="23"/>
      <c r="W52" s="24"/>
      <c r="X52" s="24"/>
      <c r="Y52" s="146"/>
    </row>
    <row r="53" ht="15.75" customHeight="1" outlineLevel="1" spans="1:25">
      <c r="A53" s="58" t="s">
        <v>85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153"/>
    </row>
    <row r="54" ht="19.5" customHeight="1" outlineLevel="1" spans="1:25">
      <c r="A54" s="68" t="s">
        <v>86</v>
      </c>
      <c r="B54" s="44">
        <v>1</v>
      </c>
      <c r="C54" s="44">
        <v>20</v>
      </c>
      <c r="D54" s="44">
        <v>241</v>
      </c>
      <c r="E54" s="61">
        <v>262</v>
      </c>
      <c r="F54" s="67"/>
      <c r="G54" s="63"/>
      <c r="H54" s="64"/>
      <c r="I54" s="64"/>
      <c r="J54" s="64"/>
      <c r="K54" s="67"/>
      <c r="L54" s="113" t="s">
        <v>87</v>
      </c>
      <c r="M54" s="64"/>
      <c r="N54" s="64"/>
      <c r="O54" s="64"/>
      <c r="P54" s="67"/>
      <c r="Q54" s="66">
        <v>1</v>
      </c>
      <c r="R54" s="66">
        <v>20</v>
      </c>
      <c r="S54" s="66">
        <v>241</v>
      </c>
      <c r="T54" s="61">
        <v>262</v>
      </c>
      <c r="U54" s="67"/>
      <c r="V54" s="136" t="s">
        <v>88</v>
      </c>
      <c r="W54" s="137"/>
      <c r="X54" s="137"/>
      <c r="Y54" s="157"/>
    </row>
    <row r="55" ht="19.5" customHeight="1" outlineLevel="1" spans="1:25">
      <c r="A55" s="80" t="s">
        <v>89</v>
      </c>
      <c r="B55" s="81">
        <v>1</v>
      </c>
      <c r="C55" s="81">
        <v>20</v>
      </c>
      <c r="D55" s="81">
        <v>244</v>
      </c>
      <c r="E55" s="61">
        <v>265</v>
      </c>
      <c r="F55" s="67"/>
      <c r="G55" s="63"/>
      <c r="H55" s="64"/>
      <c r="I55" s="64"/>
      <c r="J55" s="64"/>
      <c r="K55" s="67"/>
      <c r="L55" s="114" t="s">
        <v>90</v>
      </c>
      <c r="M55" s="105"/>
      <c r="N55" s="105"/>
      <c r="O55" s="105"/>
      <c r="P55" s="106"/>
      <c r="Q55" s="83">
        <v>0</v>
      </c>
      <c r="R55" s="83">
        <v>20</v>
      </c>
      <c r="S55" s="83">
        <v>239</v>
      </c>
      <c r="T55" s="138">
        <v>260</v>
      </c>
      <c r="U55" s="139"/>
      <c r="V55" s="140"/>
      <c r="W55" s="16"/>
      <c r="X55" s="16"/>
      <c r="Y55" s="117"/>
    </row>
    <row r="56" ht="19.5" customHeight="1" outlineLevel="1" spans="1:25">
      <c r="A56" s="82" t="s">
        <v>91</v>
      </c>
      <c r="B56" s="83">
        <v>1</v>
      </c>
      <c r="C56" s="83">
        <v>19</v>
      </c>
      <c r="D56" s="83">
        <v>236</v>
      </c>
      <c r="E56" s="61">
        <v>256</v>
      </c>
      <c r="F56" s="67"/>
      <c r="G56" s="63"/>
      <c r="H56" s="64"/>
      <c r="I56" s="64"/>
      <c r="J56" s="64"/>
      <c r="K56" s="67"/>
      <c r="L56" s="114" t="s">
        <v>92</v>
      </c>
      <c r="M56" s="105"/>
      <c r="N56" s="105"/>
      <c r="O56" s="105"/>
      <c r="P56" s="106"/>
      <c r="Q56" s="83">
        <v>0</v>
      </c>
      <c r="R56" s="83">
        <v>0</v>
      </c>
      <c r="S56" s="83">
        <v>2</v>
      </c>
      <c r="T56" s="61">
        <v>2</v>
      </c>
      <c r="U56" s="67"/>
      <c r="V56" s="141"/>
      <c r="W56" s="97"/>
      <c r="X56" s="97"/>
      <c r="Y56" s="119"/>
    </row>
    <row r="57" ht="19.5" customHeight="1" outlineLevel="1" spans="1:25">
      <c r="A57" s="82" t="s">
        <v>93</v>
      </c>
      <c r="B57" s="83">
        <v>0</v>
      </c>
      <c r="C57" s="83">
        <v>1</v>
      </c>
      <c r="D57" s="83">
        <v>8</v>
      </c>
      <c r="E57" s="61">
        <v>9</v>
      </c>
      <c r="F57" s="67"/>
      <c r="G57" s="63"/>
      <c r="H57" s="64"/>
      <c r="I57" s="64"/>
      <c r="J57" s="64"/>
      <c r="K57" s="67"/>
      <c r="L57" s="63" t="s">
        <v>94</v>
      </c>
      <c r="M57" s="64"/>
      <c r="N57" s="64"/>
      <c r="O57" s="64"/>
      <c r="P57" s="67"/>
      <c r="Q57" s="83">
        <v>1</v>
      </c>
      <c r="R57" s="83">
        <v>19</v>
      </c>
      <c r="S57" s="83">
        <v>227</v>
      </c>
      <c r="T57" s="61">
        <v>247</v>
      </c>
      <c r="U57" s="67"/>
      <c r="V57" s="136" t="s">
        <v>95</v>
      </c>
      <c r="W57" s="137"/>
      <c r="X57" s="137"/>
      <c r="Y57" s="157"/>
    </row>
    <row r="58" ht="19.5" customHeight="1" outlineLevel="1" spans="1:25">
      <c r="A58" s="84" t="s">
        <v>96</v>
      </c>
      <c r="B58" s="83">
        <v>0</v>
      </c>
      <c r="C58" s="83">
        <v>0</v>
      </c>
      <c r="D58" s="83">
        <v>0</v>
      </c>
      <c r="E58" s="78">
        <v>0</v>
      </c>
      <c r="F58" s="79"/>
      <c r="G58" s="75"/>
      <c r="H58" s="76"/>
      <c r="I58" s="76"/>
      <c r="J58" s="76"/>
      <c r="K58" s="79"/>
      <c r="L58" s="63" t="s">
        <v>97</v>
      </c>
      <c r="M58" s="64"/>
      <c r="N58" s="64"/>
      <c r="O58" s="64"/>
      <c r="P58" s="67"/>
      <c r="Q58" s="83">
        <v>0</v>
      </c>
      <c r="R58" s="83">
        <v>1</v>
      </c>
      <c r="S58" s="83">
        <v>13</v>
      </c>
      <c r="T58" s="138">
        <v>14</v>
      </c>
      <c r="U58" s="139"/>
      <c r="V58" s="140"/>
      <c r="W58" s="16"/>
      <c r="X58" s="16"/>
      <c r="Y58" s="117"/>
    </row>
    <row r="59" ht="32.45" customHeight="1" outlineLevel="1" spans="1:25">
      <c r="A59" s="85" t="s">
        <v>98</v>
      </c>
      <c r="B59" s="86">
        <v>1</v>
      </c>
      <c r="C59" s="86">
        <v>20</v>
      </c>
      <c r="D59" s="86">
        <v>241</v>
      </c>
      <c r="E59" s="87">
        <v>262</v>
      </c>
      <c r="F59" s="88"/>
      <c r="G59" s="89" t="s">
        <v>99</v>
      </c>
      <c r="H59" s="90"/>
      <c r="I59" s="90"/>
      <c r="J59" s="90"/>
      <c r="K59" s="115"/>
      <c r="L59" s="116" t="s">
        <v>100</v>
      </c>
      <c r="M59" s="64"/>
      <c r="N59" s="64"/>
      <c r="O59" s="64"/>
      <c r="P59" s="67"/>
      <c r="Q59" s="83">
        <v>0</v>
      </c>
      <c r="R59" s="83">
        <v>0</v>
      </c>
      <c r="S59" s="83">
        <v>1</v>
      </c>
      <c r="T59" s="61">
        <v>1</v>
      </c>
      <c r="U59" s="67"/>
      <c r="V59" s="141"/>
      <c r="W59" s="97"/>
      <c r="X59" s="97"/>
      <c r="Y59" s="119"/>
    </row>
    <row r="60" ht="19.5" customHeight="1" outlineLevel="1" spans="1:25">
      <c r="A60" s="68" t="s">
        <v>101</v>
      </c>
      <c r="B60" s="83">
        <v>1</v>
      </c>
      <c r="C60" s="83">
        <v>8</v>
      </c>
      <c r="D60" s="83">
        <v>51</v>
      </c>
      <c r="E60" s="91">
        <v>60</v>
      </c>
      <c r="F60" s="92"/>
      <c r="G60" s="93"/>
      <c r="H60" s="16"/>
      <c r="I60" s="16"/>
      <c r="J60" s="16"/>
      <c r="K60" s="117"/>
      <c r="L60" s="118" t="s">
        <v>102</v>
      </c>
      <c r="M60" s="64"/>
      <c r="N60" s="64"/>
      <c r="O60" s="64"/>
      <c r="P60" s="67"/>
      <c r="Q60" s="83">
        <v>1</v>
      </c>
      <c r="R60" s="83">
        <v>20</v>
      </c>
      <c r="S60" s="83">
        <v>239</v>
      </c>
      <c r="T60" s="61">
        <v>260</v>
      </c>
      <c r="U60" s="67"/>
      <c r="V60" s="136" t="s">
        <v>95</v>
      </c>
      <c r="W60" s="137"/>
      <c r="X60" s="137"/>
      <c r="Y60" s="157"/>
    </row>
    <row r="61" ht="19.5" customHeight="1" outlineLevel="1" spans="1:25">
      <c r="A61" s="68" t="s">
        <v>103</v>
      </c>
      <c r="B61" s="83">
        <v>0</v>
      </c>
      <c r="C61" s="83">
        <v>0</v>
      </c>
      <c r="D61" s="83">
        <v>0</v>
      </c>
      <c r="E61" s="94">
        <v>0</v>
      </c>
      <c r="F61" s="95"/>
      <c r="G61" s="93"/>
      <c r="H61" s="16"/>
      <c r="I61" s="16"/>
      <c r="J61" s="16"/>
      <c r="K61" s="117"/>
      <c r="L61" s="118" t="s">
        <v>104</v>
      </c>
      <c r="M61" s="64"/>
      <c r="N61" s="64"/>
      <c r="O61" s="64"/>
      <c r="P61" s="67"/>
      <c r="Q61" s="83">
        <v>0</v>
      </c>
      <c r="R61" s="83">
        <v>0</v>
      </c>
      <c r="S61" s="83">
        <v>2</v>
      </c>
      <c r="T61" s="61">
        <v>2</v>
      </c>
      <c r="U61" s="67"/>
      <c r="V61" s="140"/>
      <c r="W61" s="16"/>
      <c r="X61" s="16"/>
      <c r="Y61" s="117"/>
    </row>
    <row r="62" ht="19.5" customHeight="1" outlineLevel="1" spans="1:25">
      <c r="A62" s="77" t="s">
        <v>105</v>
      </c>
      <c r="B62" s="83">
        <v>0</v>
      </c>
      <c r="C62" s="83">
        <v>12</v>
      </c>
      <c r="D62" s="83">
        <v>190</v>
      </c>
      <c r="E62" s="91">
        <v>202</v>
      </c>
      <c r="F62" s="92"/>
      <c r="G62" s="96"/>
      <c r="H62" s="97"/>
      <c r="I62" s="97"/>
      <c r="J62" s="97"/>
      <c r="K62" s="119"/>
      <c r="L62" s="118" t="s">
        <v>106</v>
      </c>
      <c r="M62" s="64"/>
      <c r="N62" s="64"/>
      <c r="O62" s="64"/>
      <c r="P62" s="67"/>
      <c r="Q62" s="83">
        <v>0</v>
      </c>
      <c r="R62" s="83">
        <v>0</v>
      </c>
      <c r="S62" s="83">
        <v>0</v>
      </c>
      <c r="T62" s="61">
        <v>0</v>
      </c>
      <c r="U62" s="67"/>
      <c r="V62" s="141"/>
      <c r="W62" s="97"/>
      <c r="X62" s="97"/>
      <c r="Y62" s="119"/>
    </row>
    <row r="63" ht="21.95" customHeight="1" outlineLevel="1" spans="1:25">
      <c r="A63" s="98"/>
      <c r="B63" s="99"/>
      <c r="C63" s="99"/>
      <c r="D63" s="99"/>
      <c r="E63" s="99"/>
      <c r="F63" s="100"/>
      <c r="G63" s="75"/>
      <c r="H63" s="76"/>
      <c r="I63" s="76"/>
      <c r="J63" s="76"/>
      <c r="K63" s="79"/>
      <c r="L63" s="120" t="s">
        <v>107</v>
      </c>
      <c r="M63" s="121"/>
      <c r="N63" s="121"/>
      <c r="O63" s="121"/>
      <c r="P63" s="122"/>
      <c r="Q63" s="131">
        <v>0</v>
      </c>
      <c r="R63" s="131">
        <v>0</v>
      </c>
      <c r="S63" s="131">
        <v>0</v>
      </c>
      <c r="T63" s="78">
        <v>0</v>
      </c>
      <c r="U63" s="79"/>
      <c r="V63" s="75"/>
      <c r="W63" s="76"/>
      <c r="X63" s="76"/>
      <c r="Y63" s="155"/>
    </row>
    <row r="64" ht="15.75" customHeight="1" outlineLevel="1" spans="1:25">
      <c r="A64" s="32" t="s">
        <v>52</v>
      </c>
      <c r="B64" s="54" t="s">
        <v>13</v>
      </c>
      <c r="C64" s="18"/>
      <c r="D64" s="26"/>
      <c r="E64" s="55" t="s">
        <v>28</v>
      </c>
      <c r="F64" s="21"/>
      <c r="G64" s="33" t="s">
        <v>15</v>
      </c>
      <c r="H64" s="20"/>
      <c r="I64" s="20"/>
      <c r="J64" s="20"/>
      <c r="K64" s="21"/>
      <c r="L64" s="33" t="s">
        <v>52</v>
      </c>
      <c r="M64" s="20"/>
      <c r="N64" s="20"/>
      <c r="O64" s="20"/>
      <c r="P64" s="21"/>
      <c r="Q64" s="54" t="s">
        <v>13</v>
      </c>
      <c r="R64" s="18"/>
      <c r="S64" s="26"/>
      <c r="T64" s="55" t="s">
        <v>28</v>
      </c>
      <c r="U64" s="21"/>
      <c r="V64" s="33" t="s">
        <v>15</v>
      </c>
      <c r="W64" s="20"/>
      <c r="X64" s="20"/>
      <c r="Y64" s="145"/>
    </row>
    <row r="65" ht="15.75" customHeight="1" outlineLevel="1" spans="1:25">
      <c r="A65" s="56"/>
      <c r="B65" s="301" t="s">
        <v>29</v>
      </c>
      <c r="C65" s="57" t="s">
        <v>30</v>
      </c>
      <c r="D65" s="57" t="s">
        <v>31</v>
      </c>
      <c r="E65" s="23"/>
      <c r="F65" s="25"/>
      <c r="G65" s="23"/>
      <c r="H65" s="24"/>
      <c r="I65" s="24"/>
      <c r="J65" s="24"/>
      <c r="K65" s="25"/>
      <c r="L65" s="23"/>
      <c r="M65" s="24"/>
      <c r="N65" s="24"/>
      <c r="O65" s="24"/>
      <c r="P65" s="25"/>
      <c r="Q65" s="301" t="s">
        <v>29</v>
      </c>
      <c r="R65" s="57" t="s">
        <v>30</v>
      </c>
      <c r="S65" s="57" t="s">
        <v>31</v>
      </c>
      <c r="T65" s="23"/>
      <c r="U65" s="25"/>
      <c r="V65" s="23"/>
      <c r="W65" s="24"/>
      <c r="X65" s="24"/>
      <c r="Y65" s="146"/>
    </row>
    <row r="66" ht="15.75" customHeight="1" outlineLevel="1" spans="1:25">
      <c r="A66" s="58" t="s">
        <v>108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153"/>
    </row>
    <row r="67" ht="75.95" customHeight="1" outlineLevel="1" spans="1:25">
      <c r="A67" s="68" t="s">
        <v>109</v>
      </c>
      <c r="B67" s="83">
        <v>0</v>
      </c>
      <c r="C67" s="83">
        <v>2</v>
      </c>
      <c r="D67" s="83">
        <v>40</v>
      </c>
      <c r="E67" s="61">
        <v>42</v>
      </c>
      <c r="F67" s="67"/>
      <c r="G67" s="63" t="s">
        <v>110</v>
      </c>
      <c r="H67" s="64"/>
      <c r="I67" s="64"/>
      <c r="J67" s="64"/>
      <c r="K67" s="67"/>
      <c r="L67" s="60" t="s">
        <v>111</v>
      </c>
      <c r="M67" s="64"/>
      <c r="N67" s="64"/>
      <c r="O67" s="64"/>
      <c r="P67" s="67"/>
      <c r="Q67" s="83">
        <v>0</v>
      </c>
      <c r="R67" s="83">
        <v>12</v>
      </c>
      <c r="S67" s="83">
        <v>183</v>
      </c>
      <c r="T67" s="61">
        <v>195</v>
      </c>
      <c r="U67" s="67"/>
      <c r="V67" s="63"/>
      <c r="W67" s="64"/>
      <c r="X67" s="64"/>
      <c r="Y67" s="154"/>
    </row>
    <row r="68" ht="57.95" customHeight="1" outlineLevel="1" spans="1:25">
      <c r="A68" s="158" t="s">
        <v>112</v>
      </c>
      <c r="B68" s="45">
        <v>1</v>
      </c>
      <c r="C68" s="45">
        <v>14</v>
      </c>
      <c r="D68" s="45">
        <v>230</v>
      </c>
      <c r="E68" s="61">
        <v>245</v>
      </c>
      <c r="F68" s="67"/>
      <c r="G68" s="159" t="s">
        <v>113</v>
      </c>
      <c r="H68" s="137"/>
      <c r="I68" s="137"/>
      <c r="J68" s="137"/>
      <c r="K68" s="177"/>
      <c r="L68" s="60" t="s">
        <v>114</v>
      </c>
      <c r="M68" s="64"/>
      <c r="N68" s="64"/>
      <c r="O68" s="64"/>
      <c r="P68" s="67"/>
      <c r="Q68" s="83">
        <v>0</v>
      </c>
      <c r="R68" s="83">
        <v>1</v>
      </c>
      <c r="S68" s="83">
        <v>14</v>
      </c>
      <c r="T68" s="61">
        <v>15</v>
      </c>
      <c r="U68" s="67"/>
      <c r="V68" s="63"/>
      <c r="W68" s="64"/>
      <c r="X68" s="64"/>
      <c r="Y68" s="154"/>
    </row>
    <row r="69" ht="41.1" customHeight="1" outlineLevel="1" spans="1:25">
      <c r="A69" s="68" t="s">
        <v>115</v>
      </c>
      <c r="B69" s="83">
        <v>1</v>
      </c>
      <c r="C69" s="83">
        <v>14</v>
      </c>
      <c r="D69" s="83">
        <v>225</v>
      </c>
      <c r="E69" s="61">
        <v>240</v>
      </c>
      <c r="F69" s="67"/>
      <c r="G69" s="140"/>
      <c r="H69" s="16"/>
      <c r="I69" s="16"/>
      <c r="J69" s="16"/>
      <c r="K69" s="178"/>
      <c r="L69" s="179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96"/>
    </row>
    <row r="70" ht="48.95" customHeight="1" outlineLevel="1" spans="1:25">
      <c r="A70" s="68" t="s">
        <v>116</v>
      </c>
      <c r="B70" s="83">
        <v>0</v>
      </c>
      <c r="C70" s="83">
        <v>0</v>
      </c>
      <c r="D70" s="83">
        <v>5</v>
      </c>
      <c r="E70" s="61">
        <v>5</v>
      </c>
      <c r="F70" s="67"/>
      <c r="G70" s="141"/>
      <c r="H70" s="97"/>
      <c r="I70" s="97"/>
      <c r="J70" s="97"/>
      <c r="K70" s="181"/>
      <c r="L70" s="182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97"/>
    </row>
    <row r="71" ht="39" customHeight="1" outlineLevel="1" spans="1:25">
      <c r="A71" s="65" t="s">
        <v>117</v>
      </c>
      <c r="B71" s="66">
        <v>1</v>
      </c>
      <c r="C71" s="66">
        <v>14</v>
      </c>
      <c r="D71" s="66">
        <v>216</v>
      </c>
      <c r="E71" s="61">
        <v>231</v>
      </c>
      <c r="F71" s="67"/>
      <c r="G71" s="159" t="s">
        <v>118</v>
      </c>
      <c r="H71" s="137"/>
      <c r="I71" s="137"/>
      <c r="J71" s="137"/>
      <c r="K71" s="177"/>
      <c r="L71" s="182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97"/>
    </row>
    <row r="72" ht="34.5" customHeight="1" outlineLevel="1" spans="1:25">
      <c r="A72" s="68" t="s">
        <v>119</v>
      </c>
      <c r="B72" s="83">
        <v>1</v>
      </c>
      <c r="C72" s="83">
        <v>14</v>
      </c>
      <c r="D72" s="83">
        <v>211</v>
      </c>
      <c r="E72" s="61">
        <v>226</v>
      </c>
      <c r="F72" s="67"/>
      <c r="G72" s="140"/>
      <c r="H72" s="16"/>
      <c r="I72" s="16"/>
      <c r="J72" s="16"/>
      <c r="K72" s="178"/>
      <c r="L72" s="182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97"/>
    </row>
    <row r="73" ht="34.5" customHeight="1" outlineLevel="1" spans="1:25">
      <c r="A73" s="68" t="s">
        <v>71</v>
      </c>
      <c r="B73" s="83">
        <v>0</v>
      </c>
      <c r="C73" s="83">
        <v>0</v>
      </c>
      <c r="D73" s="83">
        <v>5</v>
      </c>
      <c r="E73" s="78">
        <v>5</v>
      </c>
      <c r="F73" s="79"/>
      <c r="G73" s="140"/>
      <c r="H73" s="16"/>
      <c r="I73" s="16"/>
      <c r="J73" s="16"/>
      <c r="K73" s="178"/>
      <c r="L73" s="182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97"/>
    </row>
    <row r="74" ht="34.5" customHeight="1" outlineLevel="1" spans="1:25">
      <c r="A74" s="68" t="s">
        <v>120</v>
      </c>
      <c r="B74" s="83">
        <v>0</v>
      </c>
      <c r="C74" s="83">
        <v>0</v>
      </c>
      <c r="D74" s="83">
        <v>0</v>
      </c>
      <c r="E74" s="78">
        <v>0</v>
      </c>
      <c r="F74" s="79"/>
      <c r="G74" s="140"/>
      <c r="H74" s="16"/>
      <c r="I74" s="16"/>
      <c r="J74" s="16"/>
      <c r="K74" s="178"/>
      <c r="L74" s="184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98"/>
    </row>
    <row r="75" ht="15.75" customHeight="1" spans="1:25">
      <c r="A75" s="17" t="s">
        <v>121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44"/>
    </row>
    <row r="76" ht="15.75" customHeight="1" outlineLevel="1" spans="1:25">
      <c r="A76" s="32" t="s">
        <v>52</v>
      </c>
      <c r="B76" s="54" t="s">
        <v>122</v>
      </c>
      <c r="C76" s="18"/>
      <c r="D76" s="26"/>
      <c r="E76" s="55" t="s">
        <v>15</v>
      </c>
      <c r="F76" s="20"/>
      <c r="G76" s="20"/>
      <c r="H76" s="20"/>
      <c r="I76" s="20"/>
      <c r="J76" s="20"/>
      <c r="K76" s="21"/>
      <c r="L76" s="33" t="s">
        <v>52</v>
      </c>
      <c r="M76" s="20"/>
      <c r="N76" s="20"/>
      <c r="O76" s="20"/>
      <c r="P76" s="21"/>
      <c r="Q76" s="54" t="s">
        <v>122</v>
      </c>
      <c r="R76" s="18"/>
      <c r="S76" s="26"/>
      <c r="T76" s="55" t="s">
        <v>15</v>
      </c>
      <c r="U76" s="20"/>
      <c r="V76" s="20"/>
      <c r="W76" s="20"/>
      <c r="X76" s="20"/>
      <c r="Y76" s="145"/>
    </row>
    <row r="77" ht="15.75" customHeight="1" outlineLevel="1" spans="1:25">
      <c r="A77" s="56"/>
      <c r="B77" s="160" t="s">
        <v>123</v>
      </c>
      <c r="C77" s="160" t="s">
        <v>124</v>
      </c>
      <c r="D77" s="160" t="s">
        <v>125</v>
      </c>
      <c r="E77" s="23"/>
      <c r="F77" s="24"/>
      <c r="G77" s="24"/>
      <c r="H77" s="24"/>
      <c r="I77" s="24"/>
      <c r="J77" s="24"/>
      <c r="K77" s="25"/>
      <c r="L77" s="23"/>
      <c r="M77" s="24"/>
      <c r="N77" s="24"/>
      <c r="O77" s="24"/>
      <c r="P77" s="25"/>
      <c r="Q77" s="160" t="s">
        <v>123</v>
      </c>
      <c r="R77" s="160" t="s">
        <v>124</v>
      </c>
      <c r="S77" s="160" t="s">
        <v>125</v>
      </c>
      <c r="T77" s="23"/>
      <c r="U77" s="24"/>
      <c r="V77" s="24"/>
      <c r="W77" s="24"/>
      <c r="X77" s="24"/>
      <c r="Y77" s="146"/>
    </row>
    <row r="78" ht="15.75" customHeight="1" outlineLevel="1" spans="1:25">
      <c r="A78" s="161" t="s">
        <v>126</v>
      </c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154"/>
    </row>
    <row r="79" ht="15.75" customHeight="1" outlineLevel="1" spans="1:25">
      <c r="A79" s="162" t="s">
        <v>127</v>
      </c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154"/>
    </row>
    <row r="80" ht="15.75" customHeight="1" outlineLevel="1" spans="1:25">
      <c r="A80" s="68" t="s">
        <v>128</v>
      </c>
      <c r="B80" s="83">
        <v>153</v>
      </c>
      <c r="C80" s="83">
        <v>133</v>
      </c>
      <c r="D80" s="45">
        <v>286</v>
      </c>
      <c r="E80" s="163" t="s">
        <v>129</v>
      </c>
      <c r="F80" s="64"/>
      <c r="G80" s="64"/>
      <c r="H80" s="64"/>
      <c r="I80" s="64"/>
      <c r="J80" s="64"/>
      <c r="K80" s="67"/>
      <c r="L80" s="167" t="s">
        <v>130</v>
      </c>
      <c r="M80" s="59"/>
      <c r="N80" s="59"/>
      <c r="O80" s="59"/>
      <c r="P80" s="59"/>
      <c r="Q80" s="83">
        <v>144</v>
      </c>
      <c r="R80" s="83">
        <v>125</v>
      </c>
      <c r="S80" s="45">
        <v>269</v>
      </c>
      <c r="T80" s="63"/>
      <c r="U80" s="64"/>
      <c r="V80" s="64"/>
      <c r="W80" s="64"/>
      <c r="X80" s="64"/>
      <c r="Y80" s="154"/>
    </row>
    <row r="81" ht="15.75" customHeight="1" outlineLevel="1" spans="1:25">
      <c r="A81" s="68" t="s">
        <v>131</v>
      </c>
      <c r="B81" s="83">
        <v>99</v>
      </c>
      <c r="C81" s="83">
        <v>98</v>
      </c>
      <c r="D81" s="45">
        <v>197</v>
      </c>
      <c r="E81" s="63"/>
      <c r="F81" s="64"/>
      <c r="G81" s="64"/>
      <c r="H81" s="64"/>
      <c r="I81" s="64"/>
      <c r="J81" s="64"/>
      <c r="K81" s="67"/>
      <c r="L81" s="60" t="s">
        <v>132</v>
      </c>
      <c r="M81" s="64"/>
      <c r="N81" s="64"/>
      <c r="O81" s="64"/>
      <c r="P81" s="67"/>
      <c r="Q81" s="83">
        <v>0</v>
      </c>
      <c r="R81" s="83">
        <v>0</v>
      </c>
      <c r="S81" s="45">
        <v>0</v>
      </c>
      <c r="T81" s="63"/>
      <c r="U81" s="64"/>
      <c r="V81" s="64"/>
      <c r="W81" s="64"/>
      <c r="X81" s="64"/>
      <c r="Y81" s="154"/>
    </row>
    <row r="82" ht="15.75" customHeight="1" outlineLevel="1" spans="1:25">
      <c r="A82" s="68" t="s">
        <v>133</v>
      </c>
      <c r="B82" s="83">
        <v>32</v>
      </c>
      <c r="C82" s="83">
        <v>38</v>
      </c>
      <c r="D82" s="45">
        <v>70</v>
      </c>
      <c r="E82" s="63"/>
      <c r="F82" s="64"/>
      <c r="G82" s="64"/>
      <c r="H82" s="64"/>
      <c r="I82" s="64"/>
      <c r="J82" s="64"/>
      <c r="K82" s="67"/>
      <c r="L82" s="186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47"/>
    </row>
    <row r="83" ht="15.75" customHeight="1" outlineLevel="1" spans="1:25">
      <c r="A83" s="164" t="s">
        <v>134</v>
      </c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99"/>
    </row>
    <row r="84" ht="15.75" customHeight="1" outlineLevel="1" spans="1:25">
      <c r="A84" s="68" t="s">
        <v>135</v>
      </c>
      <c r="B84" s="83">
        <v>175</v>
      </c>
      <c r="C84" s="83">
        <v>190</v>
      </c>
      <c r="D84" s="45">
        <v>135</v>
      </c>
      <c r="E84" s="63"/>
      <c r="F84" s="64"/>
      <c r="G84" s="64"/>
      <c r="H84" s="64"/>
      <c r="I84" s="64"/>
      <c r="J84" s="64"/>
      <c r="K84" s="67"/>
      <c r="L84" s="60" t="s">
        <v>136</v>
      </c>
      <c r="M84" s="64"/>
      <c r="N84" s="64"/>
      <c r="O84" s="64"/>
      <c r="P84" s="67"/>
      <c r="Q84" s="83">
        <v>142</v>
      </c>
      <c r="R84" s="83">
        <v>144</v>
      </c>
      <c r="S84" s="45">
        <v>286</v>
      </c>
      <c r="T84" s="63"/>
      <c r="U84" s="64"/>
      <c r="V84" s="64"/>
      <c r="W84" s="64"/>
      <c r="X84" s="64"/>
      <c r="Y84" s="154"/>
    </row>
    <row r="85" ht="15.75" customHeight="1" outlineLevel="1" spans="1:25">
      <c r="A85" s="68" t="s">
        <v>137</v>
      </c>
      <c r="B85" s="83">
        <v>186</v>
      </c>
      <c r="C85" s="83">
        <v>198</v>
      </c>
      <c r="D85" s="45">
        <v>384</v>
      </c>
      <c r="E85" s="63"/>
      <c r="F85" s="64"/>
      <c r="G85" s="64"/>
      <c r="H85" s="64"/>
      <c r="I85" s="64"/>
      <c r="J85" s="64"/>
      <c r="K85" s="67"/>
      <c r="L85" s="60" t="s">
        <v>138</v>
      </c>
      <c r="M85" s="64"/>
      <c r="N85" s="64"/>
      <c r="O85" s="64"/>
      <c r="P85" s="67"/>
      <c r="Q85" s="83">
        <v>165</v>
      </c>
      <c r="R85" s="83">
        <v>168</v>
      </c>
      <c r="S85" s="45">
        <v>333</v>
      </c>
      <c r="T85" s="63"/>
      <c r="U85" s="64"/>
      <c r="V85" s="64"/>
      <c r="W85" s="64"/>
      <c r="X85" s="64"/>
      <c r="Y85" s="154"/>
    </row>
    <row r="86" ht="15.75" customHeight="1" outlineLevel="1" spans="1:25">
      <c r="A86" s="68" t="s">
        <v>139</v>
      </c>
      <c r="B86" s="83">
        <v>238</v>
      </c>
      <c r="C86" s="83">
        <v>214</v>
      </c>
      <c r="D86" s="45">
        <v>452</v>
      </c>
      <c r="E86" s="63"/>
      <c r="F86" s="64"/>
      <c r="G86" s="64"/>
      <c r="H86" s="64"/>
      <c r="I86" s="64"/>
      <c r="J86" s="64"/>
      <c r="K86" s="67"/>
      <c r="L86" s="60" t="s">
        <v>140</v>
      </c>
      <c r="M86" s="64"/>
      <c r="N86" s="64"/>
      <c r="O86" s="64"/>
      <c r="P86" s="67"/>
      <c r="Q86" s="83">
        <v>168</v>
      </c>
      <c r="R86" s="83">
        <v>177</v>
      </c>
      <c r="S86" s="45">
        <v>345</v>
      </c>
      <c r="T86" s="63"/>
      <c r="U86" s="64"/>
      <c r="V86" s="64"/>
      <c r="W86" s="64"/>
      <c r="X86" s="64"/>
      <c r="Y86" s="154"/>
    </row>
    <row r="87" ht="15.75" customHeight="1" outlineLevel="1" spans="1:25">
      <c r="A87" s="68" t="s">
        <v>141</v>
      </c>
      <c r="B87" s="83">
        <v>87</v>
      </c>
      <c r="C87" s="83">
        <v>81</v>
      </c>
      <c r="D87" s="45">
        <v>168</v>
      </c>
      <c r="E87" s="63"/>
      <c r="F87" s="64"/>
      <c r="G87" s="64"/>
      <c r="H87" s="64"/>
      <c r="I87" s="64"/>
      <c r="J87" s="64"/>
      <c r="K87" s="67"/>
      <c r="L87" s="60" t="s">
        <v>142</v>
      </c>
      <c r="M87" s="64"/>
      <c r="N87" s="64"/>
      <c r="O87" s="64"/>
      <c r="P87" s="67"/>
      <c r="Q87" s="83">
        <v>194</v>
      </c>
      <c r="R87" s="83">
        <v>142</v>
      </c>
      <c r="S87" s="45">
        <v>336</v>
      </c>
      <c r="T87" s="63"/>
      <c r="U87" s="64"/>
      <c r="V87" s="64"/>
      <c r="W87" s="64"/>
      <c r="X87" s="64"/>
      <c r="Y87" s="154"/>
    </row>
    <row r="88" ht="15.75" customHeight="1" outlineLevel="1" spans="1:25">
      <c r="A88" s="68" t="s">
        <v>143</v>
      </c>
      <c r="B88" s="83">
        <v>89</v>
      </c>
      <c r="C88" s="83">
        <v>102</v>
      </c>
      <c r="D88" s="45">
        <v>191</v>
      </c>
      <c r="E88" s="63"/>
      <c r="F88" s="64"/>
      <c r="G88" s="64"/>
      <c r="H88" s="64"/>
      <c r="I88" s="64"/>
      <c r="J88" s="64"/>
      <c r="K88" s="67"/>
      <c r="L88" s="60" t="s">
        <v>144</v>
      </c>
      <c r="M88" s="64"/>
      <c r="N88" s="64"/>
      <c r="O88" s="64"/>
      <c r="P88" s="67"/>
      <c r="Q88" s="83">
        <v>194</v>
      </c>
      <c r="R88" s="83">
        <v>160</v>
      </c>
      <c r="S88" s="45">
        <v>354</v>
      </c>
      <c r="T88" s="63"/>
      <c r="U88" s="64"/>
      <c r="V88" s="64"/>
      <c r="W88" s="64"/>
      <c r="X88" s="64"/>
      <c r="Y88" s="154"/>
    </row>
    <row r="89" ht="15.75" customHeight="1" outlineLevel="1" spans="1:25">
      <c r="A89" s="68" t="s">
        <v>145</v>
      </c>
      <c r="B89" s="83">
        <v>105</v>
      </c>
      <c r="C89" s="83">
        <v>94</v>
      </c>
      <c r="D89" s="45">
        <v>199</v>
      </c>
      <c r="E89" s="63"/>
      <c r="F89" s="64"/>
      <c r="G89" s="64"/>
      <c r="H89" s="64"/>
      <c r="I89" s="64"/>
      <c r="J89" s="64"/>
      <c r="K89" s="67"/>
      <c r="L89" s="60" t="s">
        <v>146</v>
      </c>
      <c r="M89" s="64"/>
      <c r="N89" s="64"/>
      <c r="O89" s="64"/>
      <c r="P89" s="67"/>
      <c r="Q89" s="83">
        <v>187</v>
      </c>
      <c r="R89" s="83">
        <v>183</v>
      </c>
      <c r="S89" s="45">
        <v>370</v>
      </c>
      <c r="T89" s="63"/>
      <c r="U89" s="64"/>
      <c r="V89" s="64"/>
      <c r="W89" s="64"/>
      <c r="X89" s="64"/>
      <c r="Y89" s="154"/>
    </row>
    <row r="90" ht="15.75" customHeight="1" outlineLevel="1" spans="1:25">
      <c r="A90" s="68" t="s">
        <v>147</v>
      </c>
      <c r="B90" s="83">
        <v>187</v>
      </c>
      <c r="C90" s="83">
        <v>144</v>
      </c>
      <c r="D90" s="45">
        <v>331</v>
      </c>
      <c r="E90" s="63"/>
      <c r="F90" s="64"/>
      <c r="G90" s="64"/>
      <c r="H90" s="64"/>
      <c r="I90" s="64"/>
      <c r="J90" s="64"/>
      <c r="K90" s="67"/>
      <c r="L90" s="60" t="s">
        <v>148</v>
      </c>
      <c r="M90" s="64"/>
      <c r="N90" s="64"/>
      <c r="O90" s="64"/>
      <c r="P90" s="67"/>
      <c r="Q90" s="83">
        <v>187</v>
      </c>
      <c r="R90" s="83">
        <v>183</v>
      </c>
      <c r="S90" s="45">
        <v>370</v>
      </c>
      <c r="T90" s="63"/>
      <c r="U90" s="64"/>
      <c r="V90" s="64"/>
      <c r="W90" s="64"/>
      <c r="X90" s="64"/>
      <c r="Y90" s="154"/>
    </row>
    <row r="91" ht="15.75" customHeight="1" outlineLevel="1" spans="1:25">
      <c r="A91" s="164" t="s">
        <v>149</v>
      </c>
      <c r="B91" s="165"/>
      <c r="C91" s="165"/>
      <c r="D91" s="165"/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99"/>
    </row>
    <row r="92" ht="15.75" customHeight="1" outlineLevel="1" spans="1:25">
      <c r="A92" s="68" t="s">
        <v>135</v>
      </c>
      <c r="B92" s="83">
        <v>0</v>
      </c>
      <c r="C92" s="83">
        <v>0</v>
      </c>
      <c r="D92" s="45">
        <v>0</v>
      </c>
      <c r="E92" s="63"/>
      <c r="F92" s="64"/>
      <c r="G92" s="64"/>
      <c r="H92" s="64"/>
      <c r="I92" s="64"/>
      <c r="J92" s="64"/>
      <c r="K92" s="67"/>
      <c r="L92" s="60" t="s">
        <v>136</v>
      </c>
      <c r="M92" s="64"/>
      <c r="N92" s="64"/>
      <c r="O92" s="64"/>
      <c r="P92" s="67"/>
      <c r="Q92" s="83">
        <v>0</v>
      </c>
      <c r="R92" s="83">
        <v>0</v>
      </c>
      <c r="S92" s="45">
        <v>0</v>
      </c>
      <c r="T92" s="63"/>
      <c r="U92" s="64"/>
      <c r="V92" s="64"/>
      <c r="W92" s="64"/>
      <c r="X92" s="64"/>
      <c r="Y92" s="154"/>
    </row>
    <row r="93" ht="15.75" customHeight="1" outlineLevel="1" spans="1:25">
      <c r="A93" s="68" t="s">
        <v>137</v>
      </c>
      <c r="B93" s="83">
        <v>0</v>
      </c>
      <c r="C93" s="83">
        <v>1</v>
      </c>
      <c r="D93" s="45">
        <v>1</v>
      </c>
      <c r="E93" s="63"/>
      <c r="F93" s="64"/>
      <c r="G93" s="64"/>
      <c r="H93" s="64"/>
      <c r="I93" s="64"/>
      <c r="J93" s="64"/>
      <c r="K93" s="67"/>
      <c r="L93" s="60" t="s">
        <v>138</v>
      </c>
      <c r="M93" s="64"/>
      <c r="N93" s="64"/>
      <c r="O93" s="64"/>
      <c r="P93" s="67"/>
      <c r="Q93" s="83">
        <v>0</v>
      </c>
      <c r="R93" s="83">
        <v>0</v>
      </c>
      <c r="S93" s="45">
        <v>0</v>
      </c>
      <c r="T93" s="63"/>
      <c r="U93" s="64"/>
      <c r="V93" s="64"/>
      <c r="W93" s="64"/>
      <c r="X93" s="64"/>
      <c r="Y93" s="154"/>
    </row>
    <row r="94" ht="15.75" customHeight="1" outlineLevel="1" spans="1:25">
      <c r="A94" s="68" t="s">
        <v>139</v>
      </c>
      <c r="B94" s="83">
        <v>0</v>
      </c>
      <c r="C94" s="83">
        <v>0</v>
      </c>
      <c r="D94" s="45">
        <v>0</v>
      </c>
      <c r="E94" s="63"/>
      <c r="F94" s="64"/>
      <c r="G94" s="64"/>
      <c r="H94" s="64"/>
      <c r="I94" s="64"/>
      <c r="J94" s="64"/>
      <c r="K94" s="67"/>
      <c r="L94" s="60" t="s">
        <v>140</v>
      </c>
      <c r="M94" s="64"/>
      <c r="N94" s="64"/>
      <c r="O94" s="64"/>
      <c r="P94" s="67"/>
      <c r="Q94" s="83">
        <v>0</v>
      </c>
      <c r="R94" s="83">
        <v>0</v>
      </c>
      <c r="S94" s="45">
        <v>0</v>
      </c>
      <c r="T94" s="63"/>
      <c r="U94" s="64"/>
      <c r="V94" s="64"/>
      <c r="W94" s="64"/>
      <c r="X94" s="64"/>
      <c r="Y94" s="154"/>
    </row>
    <row r="95" ht="15.75" customHeight="1" outlineLevel="1" spans="1:25">
      <c r="A95" s="68" t="s">
        <v>141</v>
      </c>
      <c r="B95" s="83">
        <v>0</v>
      </c>
      <c r="C95" s="83">
        <v>0</v>
      </c>
      <c r="D95" s="45">
        <v>0</v>
      </c>
      <c r="E95" s="63"/>
      <c r="F95" s="64"/>
      <c r="G95" s="64"/>
      <c r="H95" s="64"/>
      <c r="I95" s="64"/>
      <c r="J95" s="64"/>
      <c r="K95" s="67"/>
      <c r="L95" s="60" t="s">
        <v>142</v>
      </c>
      <c r="M95" s="64"/>
      <c r="N95" s="64"/>
      <c r="O95" s="64"/>
      <c r="P95" s="67"/>
      <c r="Q95" s="83">
        <v>0</v>
      </c>
      <c r="R95" s="83">
        <v>0</v>
      </c>
      <c r="S95" s="45">
        <v>0</v>
      </c>
      <c r="T95" s="63"/>
      <c r="U95" s="64"/>
      <c r="V95" s="64"/>
      <c r="W95" s="64"/>
      <c r="X95" s="64"/>
      <c r="Y95" s="154"/>
    </row>
    <row r="96" ht="15.75" customHeight="1" outlineLevel="1" spans="1:25">
      <c r="A96" s="68" t="s">
        <v>143</v>
      </c>
      <c r="B96" s="83">
        <v>0</v>
      </c>
      <c r="C96" s="83">
        <v>0</v>
      </c>
      <c r="D96" s="45">
        <v>0</v>
      </c>
      <c r="E96" s="63"/>
      <c r="F96" s="64"/>
      <c r="G96" s="64"/>
      <c r="H96" s="64"/>
      <c r="I96" s="64"/>
      <c r="J96" s="64"/>
      <c r="K96" s="67"/>
      <c r="L96" s="60" t="s">
        <v>144</v>
      </c>
      <c r="M96" s="64"/>
      <c r="N96" s="64"/>
      <c r="O96" s="64"/>
      <c r="P96" s="67"/>
      <c r="Q96" s="83">
        <v>1</v>
      </c>
      <c r="R96" s="83">
        <v>0</v>
      </c>
      <c r="S96" s="45">
        <v>1</v>
      </c>
      <c r="T96" s="63"/>
      <c r="U96" s="64"/>
      <c r="V96" s="64"/>
      <c r="W96" s="64"/>
      <c r="X96" s="64"/>
      <c r="Y96" s="154"/>
    </row>
    <row r="97" ht="15.75" customHeight="1" outlineLevel="1" spans="1:25">
      <c r="A97" s="68" t="s">
        <v>145</v>
      </c>
      <c r="B97" s="83">
        <v>0</v>
      </c>
      <c r="C97" s="83">
        <v>0</v>
      </c>
      <c r="D97" s="45">
        <v>0</v>
      </c>
      <c r="E97" s="63"/>
      <c r="F97" s="64"/>
      <c r="G97" s="64"/>
      <c r="H97" s="64"/>
      <c r="I97" s="64"/>
      <c r="J97" s="64"/>
      <c r="K97" s="67"/>
      <c r="L97" s="60" t="s">
        <v>146</v>
      </c>
      <c r="M97" s="64"/>
      <c r="N97" s="64"/>
      <c r="O97" s="64"/>
      <c r="P97" s="67"/>
      <c r="Q97" s="83">
        <v>5</v>
      </c>
      <c r="R97" s="83">
        <v>3</v>
      </c>
      <c r="S97" s="45">
        <v>8</v>
      </c>
      <c r="T97" s="63"/>
      <c r="U97" s="64"/>
      <c r="V97" s="64"/>
      <c r="W97" s="64"/>
      <c r="X97" s="64"/>
      <c r="Y97" s="154"/>
    </row>
    <row r="98" ht="15.75" customHeight="1" outlineLevel="1" spans="1:25">
      <c r="A98" s="68" t="s">
        <v>147</v>
      </c>
      <c r="B98" s="83">
        <v>2</v>
      </c>
      <c r="C98" s="83">
        <v>2</v>
      </c>
      <c r="D98" s="45">
        <v>4</v>
      </c>
      <c r="E98" s="63"/>
      <c r="F98" s="64"/>
      <c r="G98" s="64"/>
      <c r="H98" s="64"/>
      <c r="I98" s="64"/>
      <c r="J98" s="64"/>
      <c r="K98" s="67"/>
      <c r="L98" s="60" t="s">
        <v>150</v>
      </c>
      <c r="M98" s="64"/>
      <c r="N98" s="64"/>
      <c r="O98" s="64"/>
      <c r="P98" s="67"/>
      <c r="Q98" s="83">
        <v>5</v>
      </c>
      <c r="R98" s="83">
        <v>3</v>
      </c>
      <c r="S98" s="45">
        <v>8</v>
      </c>
      <c r="T98" s="63"/>
      <c r="U98" s="64"/>
      <c r="V98" s="64"/>
      <c r="W98" s="64"/>
      <c r="X98" s="64"/>
      <c r="Y98" s="154"/>
    </row>
    <row r="99" ht="15.75" customHeight="1" outlineLevel="1" spans="1:25">
      <c r="A99" s="32" t="s">
        <v>52</v>
      </c>
      <c r="B99" s="54" t="s">
        <v>122</v>
      </c>
      <c r="C99" s="18"/>
      <c r="D99" s="26"/>
      <c r="E99" s="55" t="s">
        <v>15</v>
      </c>
      <c r="F99" s="20"/>
      <c r="G99" s="20"/>
      <c r="H99" s="20"/>
      <c r="I99" s="20"/>
      <c r="J99" s="20"/>
      <c r="K99" s="21"/>
      <c r="L99" s="33" t="s">
        <v>52</v>
      </c>
      <c r="M99" s="20"/>
      <c r="N99" s="20"/>
      <c r="O99" s="20"/>
      <c r="P99" s="21"/>
      <c r="Q99" s="54" t="s">
        <v>122</v>
      </c>
      <c r="R99" s="18"/>
      <c r="S99" s="26"/>
      <c r="T99" s="55" t="s">
        <v>15</v>
      </c>
      <c r="U99" s="20"/>
      <c r="V99" s="20"/>
      <c r="W99" s="20"/>
      <c r="X99" s="20"/>
      <c r="Y99" s="145"/>
    </row>
    <row r="100" ht="15.75" customHeight="1" outlineLevel="1" spans="1:25">
      <c r="A100" s="56"/>
      <c r="B100" s="57" t="s">
        <v>123</v>
      </c>
      <c r="C100" s="57" t="s">
        <v>124</v>
      </c>
      <c r="D100" s="57" t="s">
        <v>125</v>
      </c>
      <c r="E100" s="23"/>
      <c r="F100" s="24"/>
      <c r="G100" s="24"/>
      <c r="H100" s="24"/>
      <c r="I100" s="24"/>
      <c r="J100" s="24"/>
      <c r="K100" s="25"/>
      <c r="L100" s="23"/>
      <c r="M100" s="24"/>
      <c r="N100" s="24"/>
      <c r="O100" s="24"/>
      <c r="P100" s="25"/>
      <c r="Q100" s="57" t="s">
        <v>123</v>
      </c>
      <c r="R100" s="57" t="s">
        <v>124</v>
      </c>
      <c r="S100" s="57" t="s">
        <v>125</v>
      </c>
      <c r="T100" s="23"/>
      <c r="U100" s="24"/>
      <c r="V100" s="24"/>
      <c r="W100" s="24"/>
      <c r="X100" s="24"/>
      <c r="Y100" s="146"/>
    </row>
    <row r="101" ht="15.75" customHeight="1" outlineLevel="1" spans="1:25">
      <c r="A101" s="166" t="s">
        <v>151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153"/>
    </row>
    <row r="102" ht="15.75" customHeight="1" outlineLevel="1" spans="1:25">
      <c r="A102" s="167" t="s">
        <v>152</v>
      </c>
      <c r="B102" s="168"/>
      <c r="C102" s="83">
        <v>0</v>
      </c>
      <c r="D102" s="45">
        <v>0</v>
      </c>
      <c r="E102" s="63"/>
      <c r="F102" s="64"/>
      <c r="G102" s="64"/>
      <c r="H102" s="64"/>
      <c r="I102" s="64"/>
      <c r="J102" s="64"/>
      <c r="K102" s="67"/>
      <c r="L102" s="60" t="s">
        <v>153</v>
      </c>
      <c r="M102" s="64"/>
      <c r="N102" s="64"/>
      <c r="O102" s="64"/>
      <c r="P102" s="67"/>
      <c r="Q102" s="83">
        <v>220</v>
      </c>
      <c r="R102" s="83">
        <v>220</v>
      </c>
      <c r="S102" s="45">
        <v>440</v>
      </c>
      <c r="T102" s="63"/>
      <c r="U102" s="64"/>
      <c r="V102" s="64"/>
      <c r="W102" s="64"/>
      <c r="X102" s="64"/>
      <c r="Y102" s="154"/>
    </row>
    <row r="103" ht="15.75" outlineLevel="1" spans="1:25">
      <c r="A103" s="167" t="s">
        <v>154</v>
      </c>
      <c r="B103" s="168"/>
      <c r="C103" s="83">
        <v>0</v>
      </c>
      <c r="D103" s="45">
        <v>0</v>
      </c>
      <c r="E103" s="63"/>
      <c r="F103" s="64"/>
      <c r="G103" s="64"/>
      <c r="H103" s="64"/>
      <c r="I103" s="64"/>
      <c r="J103" s="64"/>
      <c r="K103" s="67"/>
      <c r="L103" s="60" t="s">
        <v>155</v>
      </c>
      <c r="M103" s="64"/>
      <c r="N103" s="64"/>
      <c r="O103" s="64"/>
      <c r="P103" s="67"/>
      <c r="Q103" s="83">
        <v>218</v>
      </c>
      <c r="R103" s="83">
        <v>240</v>
      </c>
      <c r="S103" s="45">
        <v>458</v>
      </c>
      <c r="T103" s="63"/>
      <c r="U103" s="64"/>
      <c r="V103" s="64"/>
      <c r="W103" s="64"/>
      <c r="X103" s="64"/>
      <c r="Y103" s="154"/>
    </row>
    <row r="104" ht="15.75" customHeight="1" outlineLevel="1" spans="1:25">
      <c r="A104" s="167" t="s">
        <v>156</v>
      </c>
      <c r="B104" s="83">
        <v>220</v>
      </c>
      <c r="C104" s="83">
        <v>220</v>
      </c>
      <c r="D104" s="45">
        <v>440</v>
      </c>
      <c r="E104" s="63"/>
      <c r="F104" s="64"/>
      <c r="G104" s="64"/>
      <c r="H104" s="64"/>
      <c r="I104" s="64"/>
      <c r="J104" s="64"/>
      <c r="K104" s="67"/>
      <c r="L104" s="60" t="s">
        <v>157</v>
      </c>
      <c r="M104" s="64"/>
      <c r="N104" s="64"/>
      <c r="O104" s="64"/>
      <c r="P104" s="67"/>
      <c r="Q104" s="83">
        <v>218</v>
      </c>
      <c r="R104" s="83">
        <v>240</v>
      </c>
      <c r="S104" s="45">
        <v>458</v>
      </c>
      <c r="T104" s="63"/>
      <c r="U104" s="64"/>
      <c r="V104" s="64"/>
      <c r="W104" s="64"/>
      <c r="X104" s="64"/>
      <c r="Y104" s="154"/>
    </row>
    <row r="105" ht="15.75" customHeight="1" outlineLevel="1" spans="1:25">
      <c r="A105" s="32" t="s">
        <v>52</v>
      </c>
      <c r="B105" s="54" t="s">
        <v>122</v>
      </c>
      <c r="C105" s="18"/>
      <c r="D105" s="26"/>
      <c r="E105" s="55" t="s">
        <v>15</v>
      </c>
      <c r="F105" s="20"/>
      <c r="G105" s="20"/>
      <c r="H105" s="20"/>
      <c r="I105" s="20"/>
      <c r="J105" s="20"/>
      <c r="K105" s="21"/>
      <c r="L105" s="110" t="s">
        <v>52</v>
      </c>
      <c r="M105" s="111"/>
      <c r="N105" s="111"/>
      <c r="O105" s="111"/>
      <c r="P105" s="112"/>
      <c r="Q105" s="54" t="s">
        <v>122</v>
      </c>
      <c r="R105" s="18"/>
      <c r="S105" s="26"/>
      <c r="T105" s="55" t="s">
        <v>15</v>
      </c>
      <c r="U105" s="20"/>
      <c r="V105" s="20"/>
      <c r="W105" s="20"/>
      <c r="X105" s="20"/>
      <c r="Y105" s="145"/>
    </row>
    <row r="106" ht="15.75" customHeight="1" outlineLevel="1" spans="1:25">
      <c r="A106" s="56"/>
      <c r="B106" s="57" t="s">
        <v>123</v>
      </c>
      <c r="C106" s="57" t="s">
        <v>124</v>
      </c>
      <c r="D106" s="57" t="s">
        <v>125</v>
      </c>
      <c r="E106" s="23"/>
      <c r="F106" s="24"/>
      <c r="G106" s="24"/>
      <c r="H106" s="24"/>
      <c r="I106" s="24"/>
      <c r="J106" s="24"/>
      <c r="K106" s="25"/>
      <c r="L106" s="23"/>
      <c r="M106" s="24"/>
      <c r="N106" s="24"/>
      <c r="O106" s="24"/>
      <c r="P106" s="25"/>
      <c r="Q106" s="57" t="s">
        <v>123</v>
      </c>
      <c r="R106" s="57" t="s">
        <v>124</v>
      </c>
      <c r="S106" s="57" t="s">
        <v>125</v>
      </c>
      <c r="T106" s="23"/>
      <c r="U106" s="24"/>
      <c r="V106" s="24"/>
      <c r="W106" s="24"/>
      <c r="X106" s="24"/>
      <c r="Y106" s="146"/>
    </row>
    <row r="107" ht="15.75" customHeight="1" outlineLevel="1" spans="1:25">
      <c r="A107" s="58" t="s">
        <v>158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153"/>
    </row>
    <row r="108" ht="31.5" customHeight="1" outlineLevel="1" spans="1:25">
      <c r="A108" s="68" t="s">
        <v>159</v>
      </c>
      <c r="B108" s="83">
        <v>142</v>
      </c>
      <c r="C108" s="83">
        <v>123</v>
      </c>
      <c r="D108" s="45">
        <v>265</v>
      </c>
      <c r="E108" s="63"/>
      <c r="F108" s="64"/>
      <c r="G108" s="64"/>
      <c r="H108" s="64"/>
      <c r="I108" s="64"/>
      <c r="J108" s="64"/>
      <c r="K108" s="67"/>
      <c r="L108" s="104" t="s">
        <v>160</v>
      </c>
      <c r="M108" s="105"/>
      <c r="N108" s="105"/>
      <c r="O108" s="105"/>
      <c r="P108" s="106"/>
      <c r="Q108" s="131">
        <v>0</v>
      </c>
      <c r="R108" s="131">
        <v>0</v>
      </c>
      <c r="S108" s="45">
        <v>0</v>
      </c>
      <c r="T108" s="63"/>
      <c r="U108" s="64"/>
      <c r="V108" s="64"/>
      <c r="W108" s="64"/>
      <c r="X108" s="64"/>
      <c r="Y108" s="154"/>
    </row>
    <row r="109" ht="41.25" customHeight="1" outlineLevel="1" spans="1:25">
      <c r="A109" s="68" t="s">
        <v>161</v>
      </c>
      <c r="B109" s="83">
        <v>121</v>
      </c>
      <c r="C109" s="83">
        <v>148</v>
      </c>
      <c r="D109" s="45">
        <v>269</v>
      </c>
      <c r="E109" s="63"/>
      <c r="F109" s="64"/>
      <c r="G109" s="64"/>
      <c r="H109" s="64"/>
      <c r="I109" s="64"/>
      <c r="J109" s="64"/>
      <c r="K109" s="67"/>
      <c r="L109" s="60" t="s">
        <v>162</v>
      </c>
      <c r="M109" s="64"/>
      <c r="N109" s="64"/>
      <c r="O109" s="64"/>
      <c r="P109" s="67"/>
      <c r="Q109" s="131">
        <v>0</v>
      </c>
      <c r="R109" s="131">
        <v>0</v>
      </c>
      <c r="S109" s="45">
        <v>0</v>
      </c>
      <c r="T109" s="63"/>
      <c r="U109" s="64"/>
      <c r="V109" s="64"/>
      <c r="W109" s="64"/>
      <c r="X109" s="64"/>
      <c r="Y109" s="154"/>
    </row>
    <row r="110" ht="55.5" customHeight="1" outlineLevel="1" spans="1:25">
      <c r="A110" s="68" t="s">
        <v>163</v>
      </c>
      <c r="B110" s="83">
        <v>98</v>
      </c>
      <c r="C110" s="83">
        <v>123</v>
      </c>
      <c r="D110" s="45">
        <v>221</v>
      </c>
      <c r="E110" s="169"/>
      <c r="F110" s="170"/>
      <c r="G110" s="170"/>
      <c r="H110" s="170"/>
      <c r="I110" s="170"/>
      <c r="J110" s="170"/>
      <c r="K110" s="187"/>
      <c r="L110" s="188" t="s">
        <v>164</v>
      </c>
      <c r="M110" s="105"/>
      <c r="N110" s="105"/>
      <c r="O110" s="105"/>
      <c r="P110" s="106"/>
      <c r="Q110" s="131">
        <v>0</v>
      </c>
      <c r="R110" s="131">
        <v>0</v>
      </c>
      <c r="S110" s="45">
        <v>0</v>
      </c>
      <c r="T110" s="169"/>
      <c r="U110" s="170"/>
      <c r="V110" s="170"/>
      <c r="W110" s="170"/>
      <c r="X110" s="170"/>
      <c r="Y110" s="200"/>
    </row>
    <row r="111" ht="57" customHeight="1" outlineLevel="1" spans="1:25">
      <c r="A111" s="68" t="s">
        <v>165</v>
      </c>
      <c r="B111" s="83">
        <v>0</v>
      </c>
      <c r="C111" s="83">
        <v>0</v>
      </c>
      <c r="D111" s="45">
        <v>0</v>
      </c>
      <c r="E111" s="63"/>
      <c r="F111" s="64"/>
      <c r="G111" s="64"/>
      <c r="H111" s="64"/>
      <c r="I111" s="64"/>
      <c r="J111" s="64"/>
      <c r="K111" s="67"/>
      <c r="L111" s="60" t="s">
        <v>166</v>
      </c>
      <c r="M111" s="64"/>
      <c r="N111" s="64"/>
      <c r="O111" s="64"/>
      <c r="P111" s="67"/>
      <c r="Q111" s="131">
        <v>0</v>
      </c>
      <c r="R111" s="131">
        <v>0</v>
      </c>
      <c r="S111" s="45">
        <v>0</v>
      </c>
      <c r="T111" s="63"/>
      <c r="U111" s="64"/>
      <c r="V111" s="64"/>
      <c r="W111" s="64"/>
      <c r="X111" s="64"/>
      <c r="Y111" s="154"/>
    </row>
    <row r="112" ht="42" customHeight="1" outlineLevel="1" spans="1:25">
      <c r="A112" s="171" t="s">
        <v>167</v>
      </c>
      <c r="B112" s="131">
        <v>143</v>
      </c>
      <c r="C112" s="131">
        <v>150</v>
      </c>
      <c r="D112" s="45">
        <v>293</v>
      </c>
      <c r="E112" s="63"/>
      <c r="F112" s="64"/>
      <c r="G112" s="64"/>
      <c r="H112" s="64"/>
      <c r="I112" s="64"/>
      <c r="J112" s="64"/>
      <c r="K112" s="67"/>
      <c r="L112" s="189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96"/>
    </row>
    <row r="113" ht="54" customHeight="1" outlineLevel="1" spans="1:25">
      <c r="A113" s="172" t="s">
        <v>168</v>
      </c>
      <c r="B113" s="83">
        <v>738</v>
      </c>
      <c r="C113" s="83">
        <v>720</v>
      </c>
      <c r="D113" s="45">
        <v>1458</v>
      </c>
      <c r="E113" s="137"/>
      <c r="F113" s="137"/>
      <c r="G113" s="137"/>
      <c r="H113" s="137"/>
      <c r="I113" s="137"/>
      <c r="J113" s="137"/>
      <c r="K113" s="137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7"/>
    </row>
    <row r="114" ht="15.75" customHeight="1" outlineLevel="1" spans="1:25">
      <c r="A114" s="173" t="s">
        <v>52</v>
      </c>
      <c r="B114" s="134" t="s">
        <v>122</v>
      </c>
      <c r="C114" s="24"/>
      <c r="D114" s="25"/>
      <c r="E114" s="135" t="s">
        <v>15</v>
      </c>
      <c r="F114" s="111"/>
      <c r="G114" s="111"/>
      <c r="H114" s="111"/>
      <c r="I114" s="111"/>
      <c r="J114" s="111"/>
      <c r="K114" s="112"/>
      <c r="L114" s="110" t="s">
        <v>52</v>
      </c>
      <c r="M114" s="111"/>
      <c r="N114" s="111"/>
      <c r="O114" s="111"/>
      <c r="P114" s="112"/>
      <c r="Q114" s="134" t="s">
        <v>122</v>
      </c>
      <c r="R114" s="24"/>
      <c r="S114" s="25"/>
      <c r="T114" s="135" t="s">
        <v>15</v>
      </c>
      <c r="U114" s="111"/>
      <c r="V114" s="111"/>
      <c r="W114" s="111"/>
      <c r="X114" s="111"/>
      <c r="Y114" s="147"/>
    </row>
    <row r="115" ht="15.75" customHeight="1" outlineLevel="1" spans="1:25">
      <c r="A115" s="56"/>
      <c r="B115" s="57" t="s">
        <v>123</v>
      </c>
      <c r="C115" s="57" t="s">
        <v>124</v>
      </c>
      <c r="D115" s="57" t="s">
        <v>125</v>
      </c>
      <c r="E115" s="23"/>
      <c r="F115" s="24"/>
      <c r="G115" s="24"/>
      <c r="H115" s="24"/>
      <c r="I115" s="24"/>
      <c r="J115" s="24"/>
      <c r="K115" s="25"/>
      <c r="L115" s="23"/>
      <c r="M115" s="24"/>
      <c r="N115" s="24"/>
      <c r="O115" s="24"/>
      <c r="P115" s="25"/>
      <c r="Q115" s="57" t="s">
        <v>123</v>
      </c>
      <c r="R115" s="57" t="s">
        <v>124</v>
      </c>
      <c r="S115" s="57" t="s">
        <v>125</v>
      </c>
      <c r="T115" s="23"/>
      <c r="U115" s="24"/>
      <c r="V115" s="24"/>
      <c r="W115" s="24"/>
      <c r="X115" s="24"/>
      <c r="Y115" s="146"/>
    </row>
    <row r="116" ht="40.5" customHeight="1" outlineLevel="1" spans="1:25">
      <c r="A116" s="174" t="s">
        <v>169</v>
      </c>
      <c r="B116" s="83">
        <v>65</v>
      </c>
      <c r="C116" s="83">
        <v>50</v>
      </c>
      <c r="D116" s="45">
        <v>115</v>
      </c>
      <c r="E116" s="63"/>
      <c r="F116" s="64"/>
      <c r="G116" s="64"/>
      <c r="H116" s="64"/>
      <c r="I116" s="64"/>
      <c r="J116" s="64"/>
      <c r="K116" s="67"/>
      <c r="L116" s="60" t="s">
        <v>170</v>
      </c>
      <c r="M116" s="64"/>
      <c r="N116" s="64"/>
      <c r="O116" s="64"/>
      <c r="P116" s="67"/>
      <c r="Q116" s="83">
        <v>0</v>
      </c>
      <c r="R116" s="83">
        <v>0</v>
      </c>
      <c r="S116" s="45">
        <v>0</v>
      </c>
      <c r="T116" s="63"/>
      <c r="U116" s="64"/>
      <c r="V116" s="64"/>
      <c r="W116" s="64"/>
      <c r="X116" s="64"/>
      <c r="Y116" s="154"/>
    </row>
    <row r="117" s="4" customFormat="1" ht="31.5" customHeight="1" outlineLevel="1" spans="1:25">
      <c r="A117" s="174" t="s">
        <v>171</v>
      </c>
      <c r="B117" s="83">
        <v>7</v>
      </c>
      <c r="C117" s="83">
        <v>20</v>
      </c>
      <c r="D117" s="45">
        <v>27</v>
      </c>
      <c r="E117" s="63"/>
      <c r="F117" s="175"/>
      <c r="G117" s="175"/>
      <c r="H117" s="175"/>
      <c r="I117" s="175"/>
      <c r="J117" s="175"/>
      <c r="K117" s="191"/>
      <c r="L117" s="104" t="s">
        <v>172</v>
      </c>
      <c r="M117" s="192"/>
      <c r="N117" s="192"/>
      <c r="O117" s="192"/>
      <c r="P117" s="193"/>
      <c r="Q117" s="83">
        <v>0</v>
      </c>
      <c r="R117" s="83">
        <v>0</v>
      </c>
      <c r="S117" s="45">
        <v>0</v>
      </c>
      <c r="T117" s="63"/>
      <c r="U117" s="175"/>
      <c r="V117" s="175"/>
      <c r="W117" s="175"/>
      <c r="X117" s="175"/>
      <c r="Y117" s="201"/>
    </row>
    <row r="118" s="4" customFormat="1" ht="31.5" customHeight="1" outlineLevel="1" spans="1:25">
      <c r="A118" s="174" t="s">
        <v>173</v>
      </c>
      <c r="B118" s="83">
        <v>3</v>
      </c>
      <c r="C118" s="83">
        <v>0</v>
      </c>
      <c r="D118" s="45">
        <v>3</v>
      </c>
      <c r="E118" s="63"/>
      <c r="F118" s="175"/>
      <c r="G118" s="175"/>
      <c r="H118" s="175"/>
      <c r="I118" s="175"/>
      <c r="J118" s="175"/>
      <c r="K118" s="191"/>
      <c r="L118" s="63" t="s">
        <v>174</v>
      </c>
      <c r="M118" s="175"/>
      <c r="N118" s="175"/>
      <c r="O118" s="175"/>
      <c r="P118" s="191"/>
      <c r="Q118" s="83">
        <v>0</v>
      </c>
      <c r="R118" s="83">
        <v>0</v>
      </c>
      <c r="S118" s="45">
        <v>0</v>
      </c>
      <c r="T118" s="63"/>
      <c r="U118" s="175"/>
      <c r="V118" s="175"/>
      <c r="W118" s="175"/>
      <c r="X118" s="175"/>
      <c r="Y118" s="201"/>
    </row>
    <row r="119" s="4" customFormat="1" ht="31.5" customHeight="1" outlineLevel="1" spans="1:25">
      <c r="A119" s="176" t="s">
        <v>175</v>
      </c>
      <c r="B119" s="131">
        <v>8</v>
      </c>
      <c r="C119" s="131">
        <v>15</v>
      </c>
      <c r="D119" s="45">
        <v>23</v>
      </c>
      <c r="E119" s="63"/>
      <c r="F119" s="175"/>
      <c r="G119" s="175"/>
      <c r="H119" s="175"/>
      <c r="I119" s="175"/>
      <c r="J119" s="175"/>
      <c r="K119" s="191"/>
      <c r="L119" s="60" t="s">
        <v>176</v>
      </c>
      <c r="M119" s="175"/>
      <c r="N119" s="175"/>
      <c r="O119" s="175"/>
      <c r="P119" s="191"/>
      <c r="Q119" s="83">
        <v>0</v>
      </c>
      <c r="R119" s="83">
        <v>0</v>
      </c>
      <c r="S119" s="45">
        <v>0</v>
      </c>
      <c r="T119" s="63"/>
      <c r="U119" s="175"/>
      <c r="V119" s="175"/>
      <c r="W119" s="175"/>
      <c r="X119" s="175"/>
      <c r="Y119" s="201"/>
    </row>
    <row r="120" s="4" customFormat="1" ht="31.5" customHeight="1" outlineLevel="1" spans="1:25">
      <c r="A120" s="174" t="s">
        <v>177</v>
      </c>
      <c r="B120" s="83">
        <v>0</v>
      </c>
      <c r="C120" s="83">
        <v>0</v>
      </c>
      <c r="D120" s="45">
        <v>0</v>
      </c>
      <c r="E120" s="63"/>
      <c r="F120" s="175"/>
      <c r="G120" s="175"/>
      <c r="H120" s="175"/>
      <c r="I120" s="175"/>
      <c r="J120" s="175"/>
      <c r="K120" s="191"/>
      <c r="L120" s="60" t="s">
        <v>178</v>
      </c>
      <c r="M120" s="175"/>
      <c r="N120" s="175"/>
      <c r="O120" s="175"/>
      <c r="P120" s="191"/>
      <c r="Q120" s="83">
        <v>0</v>
      </c>
      <c r="R120" s="83">
        <v>0</v>
      </c>
      <c r="S120" s="45">
        <v>0</v>
      </c>
      <c r="T120" s="63"/>
      <c r="U120" s="175"/>
      <c r="V120" s="175"/>
      <c r="W120" s="175"/>
      <c r="X120" s="175"/>
      <c r="Y120" s="201"/>
    </row>
    <row r="121" s="4" customFormat="1" ht="31.5" customHeight="1" outlineLevel="1" spans="1:25">
      <c r="A121" s="174" t="s">
        <v>179</v>
      </c>
      <c r="B121" s="83">
        <v>0</v>
      </c>
      <c r="C121" s="83">
        <v>0</v>
      </c>
      <c r="D121" s="45">
        <v>0</v>
      </c>
      <c r="E121" s="63"/>
      <c r="F121" s="175"/>
      <c r="G121" s="175"/>
      <c r="H121" s="175"/>
      <c r="I121" s="175"/>
      <c r="J121" s="175"/>
      <c r="K121" s="191"/>
      <c r="L121" s="60" t="s">
        <v>180</v>
      </c>
      <c r="M121" s="175"/>
      <c r="N121" s="175"/>
      <c r="O121" s="175"/>
      <c r="P121" s="191"/>
      <c r="Q121" s="83">
        <v>0</v>
      </c>
      <c r="R121" s="83">
        <v>0</v>
      </c>
      <c r="S121" s="45">
        <v>0</v>
      </c>
      <c r="T121" s="63"/>
      <c r="U121" s="175"/>
      <c r="V121" s="175"/>
      <c r="W121" s="175"/>
      <c r="X121" s="175"/>
      <c r="Y121" s="201"/>
    </row>
    <row r="122" s="4" customFormat="1" ht="31.5" customHeight="1" outlineLevel="1" spans="1:25">
      <c r="A122" s="174" t="s">
        <v>181</v>
      </c>
      <c r="B122" s="83">
        <v>0</v>
      </c>
      <c r="C122" s="83">
        <v>0</v>
      </c>
      <c r="D122" s="45">
        <v>0</v>
      </c>
      <c r="E122" s="63"/>
      <c r="F122" s="175"/>
      <c r="G122" s="175"/>
      <c r="H122" s="175"/>
      <c r="I122" s="175"/>
      <c r="J122" s="175"/>
      <c r="K122" s="191"/>
      <c r="L122" s="194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202"/>
    </row>
    <row r="123" ht="15.75" customHeight="1" outlineLevel="1" spans="1:25">
      <c r="A123" s="173" t="s">
        <v>52</v>
      </c>
      <c r="B123" s="134" t="s">
        <v>122</v>
      </c>
      <c r="C123" s="24"/>
      <c r="D123" s="25"/>
      <c r="E123" s="135" t="s">
        <v>15</v>
      </c>
      <c r="F123" s="111"/>
      <c r="G123" s="111"/>
      <c r="H123" s="111"/>
      <c r="I123" s="111"/>
      <c r="J123" s="111"/>
      <c r="K123" s="112"/>
      <c r="L123" s="110" t="s">
        <v>52</v>
      </c>
      <c r="M123" s="111"/>
      <c r="N123" s="111"/>
      <c r="O123" s="111"/>
      <c r="P123" s="112"/>
      <c r="Q123" s="134" t="s">
        <v>122</v>
      </c>
      <c r="R123" s="24"/>
      <c r="S123" s="25"/>
      <c r="T123" s="135" t="s">
        <v>15</v>
      </c>
      <c r="U123" s="111"/>
      <c r="V123" s="111"/>
      <c r="W123" s="111"/>
      <c r="X123" s="111"/>
      <c r="Y123" s="147"/>
    </row>
    <row r="124" ht="15.75" customHeight="1" outlineLevel="1" spans="1:25">
      <c r="A124" s="56"/>
      <c r="B124" s="57" t="s">
        <v>123</v>
      </c>
      <c r="C124" s="57" t="s">
        <v>124</v>
      </c>
      <c r="D124" s="57" t="s">
        <v>125</v>
      </c>
      <c r="E124" s="23"/>
      <c r="F124" s="24"/>
      <c r="G124" s="24"/>
      <c r="H124" s="24"/>
      <c r="I124" s="24"/>
      <c r="J124" s="24"/>
      <c r="K124" s="25"/>
      <c r="L124" s="23"/>
      <c r="M124" s="24"/>
      <c r="N124" s="24"/>
      <c r="O124" s="24"/>
      <c r="P124" s="25"/>
      <c r="Q124" s="57" t="s">
        <v>123</v>
      </c>
      <c r="R124" s="57" t="s">
        <v>124</v>
      </c>
      <c r="S124" s="57" t="s">
        <v>125</v>
      </c>
      <c r="T124" s="23"/>
      <c r="U124" s="24"/>
      <c r="V124" s="24"/>
      <c r="W124" s="24"/>
      <c r="X124" s="24"/>
      <c r="Y124" s="146"/>
    </row>
    <row r="125" ht="15.75" customHeight="1" outlineLevel="1" spans="1:25">
      <c r="A125" s="58" t="s">
        <v>182</v>
      </c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153"/>
    </row>
    <row r="126" ht="40.5" customHeight="1" outlineLevel="1" spans="1:25">
      <c r="A126" s="176" t="s">
        <v>183</v>
      </c>
      <c r="B126" s="131">
        <v>9</v>
      </c>
      <c r="C126" s="131">
        <v>12</v>
      </c>
      <c r="D126" s="45">
        <v>21</v>
      </c>
      <c r="E126" s="63" t="s">
        <v>184</v>
      </c>
      <c r="F126" s="64"/>
      <c r="G126" s="64"/>
      <c r="H126" s="64"/>
      <c r="I126" s="64"/>
      <c r="J126" s="64"/>
      <c r="K126" s="67"/>
      <c r="L126" s="60" t="s">
        <v>185</v>
      </c>
      <c r="M126" s="64"/>
      <c r="N126" s="64"/>
      <c r="O126" s="64"/>
      <c r="P126" s="67"/>
      <c r="Q126" s="83">
        <v>1</v>
      </c>
      <c r="R126" s="83">
        <v>1</v>
      </c>
      <c r="S126" s="45">
        <v>2</v>
      </c>
      <c r="T126" s="63"/>
      <c r="U126" s="64"/>
      <c r="V126" s="64"/>
      <c r="W126" s="64"/>
      <c r="X126" s="64"/>
      <c r="Y126" s="154"/>
    </row>
    <row r="127" ht="53.25" customHeight="1" outlineLevel="1" spans="1:25">
      <c r="A127" s="174" t="s">
        <v>186</v>
      </c>
      <c r="B127" s="83">
        <v>1</v>
      </c>
      <c r="C127" s="83">
        <v>2</v>
      </c>
      <c r="D127" s="45">
        <v>3</v>
      </c>
      <c r="E127" s="63"/>
      <c r="F127" s="64"/>
      <c r="G127" s="64"/>
      <c r="H127" s="64"/>
      <c r="I127" s="64"/>
      <c r="J127" s="64"/>
      <c r="K127" s="67"/>
      <c r="L127" s="60" t="s">
        <v>187</v>
      </c>
      <c r="M127" s="64"/>
      <c r="N127" s="64"/>
      <c r="O127" s="64"/>
      <c r="P127" s="67"/>
      <c r="Q127" s="83">
        <v>1</v>
      </c>
      <c r="R127" s="83">
        <v>0</v>
      </c>
      <c r="S127" s="45">
        <v>1</v>
      </c>
      <c r="T127" s="63"/>
      <c r="U127" s="64"/>
      <c r="V127" s="64"/>
      <c r="W127" s="64"/>
      <c r="X127" s="64"/>
      <c r="Y127" s="154"/>
    </row>
    <row r="128" ht="42" customHeight="1" outlineLevel="1" spans="1:25">
      <c r="A128" s="176" t="s">
        <v>188</v>
      </c>
      <c r="B128" s="131">
        <v>7</v>
      </c>
      <c r="C128" s="131">
        <v>11</v>
      </c>
      <c r="D128" s="45">
        <v>18</v>
      </c>
      <c r="E128" s="63"/>
      <c r="F128" s="64"/>
      <c r="G128" s="64"/>
      <c r="H128" s="64"/>
      <c r="I128" s="64"/>
      <c r="J128" s="64"/>
      <c r="K128" s="67"/>
      <c r="L128" s="104" t="s">
        <v>189</v>
      </c>
      <c r="M128" s="105"/>
      <c r="N128" s="105"/>
      <c r="O128" s="105"/>
      <c r="P128" s="106"/>
      <c r="Q128" s="131">
        <v>0</v>
      </c>
      <c r="R128" s="131">
        <v>2</v>
      </c>
      <c r="S128" s="45">
        <v>2</v>
      </c>
      <c r="T128" s="133" t="s">
        <v>190</v>
      </c>
      <c r="U128" s="64"/>
      <c r="V128" s="64"/>
      <c r="W128" s="64"/>
      <c r="X128" s="64"/>
      <c r="Y128" s="154"/>
    </row>
    <row r="129" ht="53.45" customHeight="1" outlineLevel="1" spans="1:25">
      <c r="A129" s="174" t="s">
        <v>191</v>
      </c>
      <c r="B129" s="83">
        <v>0</v>
      </c>
      <c r="C129" s="83">
        <v>3</v>
      </c>
      <c r="D129" s="45">
        <v>3</v>
      </c>
      <c r="E129" s="63" t="s">
        <v>184</v>
      </c>
      <c r="F129" s="64"/>
      <c r="G129" s="64"/>
      <c r="H129" s="64"/>
      <c r="I129" s="64"/>
      <c r="J129" s="64"/>
      <c r="K129" s="67"/>
      <c r="L129" s="60" t="s">
        <v>192</v>
      </c>
      <c r="M129" s="64"/>
      <c r="N129" s="64"/>
      <c r="O129" s="64"/>
      <c r="P129" s="67"/>
      <c r="Q129" s="83">
        <v>0</v>
      </c>
      <c r="R129" s="83">
        <v>2</v>
      </c>
      <c r="S129" s="45">
        <v>2</v>
      </c>
      <c r="T129" s="63"/>
      <c r="U129" s="64"/>
      <c r="V129" s="64"/>
      <c r="W129" s="64"/>
      <c r="X129" s="64"/>
      <c r="Y129" s="154"/>
    </row>
    <row r="130" ht="33.75" customHeight="1" outlineLevel="1" spans="1:25">
      <c r="A130" s="176" t="s">
        <v>193</v>
      </c>
      <c r="B130" s="131">
        <v>2</v>
      </c>
      <c r="C130" s="131">
        <v>1</v>
      </c>
      <c r="D130" s="45">
        <v>3</v>
      </c>
      <c r="E130" s="203" t="s">
        <v>194</v>
      </c>
      <c r="F130" s="64"/>
      <c r="G130" s="64"/>
      <c r="H130" s="64"/>
      <c r="I130" s="64"/>
      <c r="J130" s="64"/>
      <c r="K130" s="67"/>
      <c r="L130" s="216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56"/>
    </row>
    <row r="131" ht="15.75" customHeight="1" collapsed="1" spans="1:25">
      <c r="A131" s="53" t="s">
        <v>195</v>
      </c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146"/>
    </row>
    <row r="132" ht="15.75" hidden="1" customHeight="1" outlineLevel="1" spans="1:25">
      <c r="A132" s="32" t="s">
        <v>52</v>
      </c>
      <c r="B132" s="54" t="s">
        <v>122</v>
      </c>
      <c r="C132" s="26"/>
      <c r="D132" s="160" t="s">
        <v>125</v>
      </c>
      <c r="E132" s="55" t="s">
        <v>15</v>
      </c>
      <c r="F132" s="20"/>
      <c r="G132" s="20"/>
      <c r="H132" s="20"/>
      <c r="I132" s="20"/>
      <c r="J132" s="20"/>
      <c r="K132" s="21"/>
      <c r="L132" s="33" t="s">
        <v>52</v>
      </c>
      <c r="M132" s="20"/>
      <c r="N132" s="20"/>
      <c r="O132" s="21"/>
      <c r="P132" s="54" t="s">
        <v>122</v>
      </c>
      <c r="Q132" s="26"/>
      <c r="R132" s="160" t="s">
        <v>125</v>
      </c>
      <c r="S132" s="55" t="s">
        <v>15</v>
      </c>
      <c r="T132" s="20"/>
      <c r="U132" s="20"/>
      <c r="V132" s="20"/>
      <c r="W132" s="20"/>
      <c r="X132" s="20"/>
      <c r="Y132" s="145"/>
    </row>
    <row r="133" ht="15.75" hidden="1" customHeight="1" outlineLevel="1" spans="1:25">
      <c r="A133" s="56"/>
      <c r="B133" s="57" t="s">
        <v>123</v>
      </c>
      <c r="C133" s="57" t="s">
        <v>124</v>
      </c>
      <c r="D133" s="56"/>
      <c r="E133" s="23"/>
      <c r="F133" s="24"/>
      <c r="G133" s="24"/>
      <c r="H133" s="24"/>
      <c r="I133" s="24"/>
      <c r="J133" s="24"/>
      <c r="K133" s="25"/>
      <c r="L133" s="23"/>
      <c r="M133" s="24"/>
      <c r="N133" s="24"/>
      <c r="O133" s="25"/>
      <c r="P133" s="57" t="s">
        <v>123</v>
      </c>
      <c r="Q133" s="57" t="s">
        <v>124</v>
      </c>
      <c r="R133" s="56"/>
      <c r="S133" s="23"/>
      <c r="T133" s="24"/>
      <c r="U133" s="24"/>
      <c r="V133" s="24"/>
      <c r="W133" s="24"/>
      <c r="X133" s="24"/>
      <c r="Y133" s="146"/>
    </row>
    <row r="134" ht="15.75" hidden="1" customHeight="1" outlineLevel="1" spans="1:25">
      <c r="A134" s="204" t="s">
        <v>196</v>
      </c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153"/>
    </row>
    <row r="135" ht="74.1" hidden="1" customHeight="1" outlineLevel="1" spans="1:25">
      <c r="A135" s="205" t="s">
        <v>197</v>
      </c>
      <c r="B135" s="83"/>
      <c r="C135" s="83"/>
      <c r="D135" s="206"/>
      <c r="E135" s="207"/>
      <c r="F135" s="59"/>
      <c r="G135" s="59"/>
      <c r="H135" s="59"/>
      <c r="I135" s="59"/>
      <c r="J135" s="59"/>
      <c r="K135" s="217"/>
      <c r="L135" s="167" t="s">
        <v>198</v>
      </c>
      <c r="M135" s="59"/>
      <c r="N135" s="59"/>
      <c r="O135" s="217"/>
      <c r="P135" s="206"/>
      <c r="Q135" s="206"/>
      <c r="R135" s="206"/>
      <c r="S135" s="207"/>
      <c r="T135" s="59"/>
      <c r="U135" s="59"/>
      <c r="V135" s="59"/>
      <c r="W135" s="59"/>
      <c r="X135" s="59"/>
      <c r="Y135" s="153"/>
    </row>
    <row r="136" ht="78.6" hidden="1" customHeight="1" outlineLevel="1" spans="1:25">
      <c r="A136" s="68" t="s">
        <v>199</v>
      </c>
      <c r="B136" s="45"/>
      <c r="C136" s="45"/>
      <c r="D136" s="45"/>
      <c r="E136" s="63"/>
      <c r="F136" s="64"/>
      <c r="G136" s="64"/>
      <c r="H136" s="64"/>
      <c r="I136" s="64"/>
      <c r="J136" s="64"/>
      <c r="K136" s="67"/>
      <c r="L136" s="60" t="s">
        <v>200</v>
      </c>
      <c r="M136" s="64"/>
      <c r="N136" s="64"/>
      <c r="O136" s="67"/>
      <c r="P136" s="83"/>
      <c r="Q136" s="83"/>
      <c r="R136" s="45"/>
      <c r="S136" s="63"/>
      <c r="T136" s="64"/>
      <c r="U136" s="64"/>
      <c r="V136" s="64"/>
      <c r="W136" s="64"/>
      <c r="X136" s="64"/>
      <c r="Y136" s="154"/>
    </row>
    <row r="137" ht="81.6" hidden="1" customHeight="1" outlineLevel="1" spans="1:25">
      <c r="A137" s="68" t="s">
        <v>201</v>
      </c>
      <c r="B137" s="83"/>
      <c r="C137" s="83"/>
      <c r="D137" s="45"/>
      <c r="E137" s="63"/>
      <c r="F137" s="64"/>
      <c r="G137" s="64"/>
      <c r="H137" s="64"/>
      <c r="I137" s="64"/>
      <c r="J137" s="64"/>
      <c r="K137" s="67"/>
      <c r="L137" s="60" t="s">
        <v>202</v>
      </c>
      <c r="M137" s="64"/>
      <c r="N137" s="64"/>
      <c r="O137" s="67"/>
      <c r="P137" s="83"/>
      <c r="Q137" s="83"/>
      <c r="R137" s="45"/>
      <c r="S137" s="63"/>
      <c r="T137" s="64"/>
      <c r="U137" s="64"/>
      <c r="V137" s="64"/>
      <c r="W137" s="64"/>
      <c r="X137" s="64"/>
      <c r="Y137" s="154"/>
    </row>
    <row r="138" ht="78" hidden="1" customHeight="1" outlineLevel="1" spans="1:25">
      <c r="A138" s="68" t="s">
        <v>203</v>
      </c>
      <c r="B138" s="83"/>
      <c r="C138" s="83"/>
      <c r="D138" s="45"/>
      <c r="E138" s="63"/>
      <c r="F138" s="64"/>
      <c r="G138" s="64"/>
      <c r="H138" s="64"/>
      <c r="I138" s="64"/>
      <c r="J138" s="64"/>
      <c r="K138" s="67"/>
      <c r="L138" s="60" t="s">
        <v>204</v>
      </c>
      <c r="M138" s="64"/>
      <c r="N138" s="64"/>
      <c r="O138" s="67"/>
      <c r="P138" s="45"/>
      <c r="Q138" s="45"/>
      <c r="R138" s="45"/>
      <c r="S138" s="63"/>
      <c r="T138" s="64"/>
      <c r="U138" s="64"/>
      <c r="V138" s="64"/>
      <c r="W138" s="64"/>
      <c r="X138" s="64"/>
      <c r="Y138" s="154"/>
    </row>
    <row r="139" ht="89.1" hidden="1" customHeight="1" outlineLevel="1" spans="1:25">
      <c r="A139" s="68" t="s">
        <v>205</v>
      </c>
      <c r="B139" s="45"/>
      <c r="C139" s="45"/>
      <c r="D139" s="45"/>
      <c r="E139" s="63"/>
      <c r="F139" s="64"/>
      <c r="G139" s="64"/>
      <c r="H139" s="64"/>
      <c r="I139" s="64"/>
      <c r="J139" s="64"/>
      <c r="K139" s="67"/>
      <c r="L139" s="60" t="s">
        <v>206</v>
      </c>
      <c r="M139" s="64"/>
      <c r="N139" s="64"/>
      <c r="O139" s="67"/>
      <c r="P139" s="83"/>
      <c r="Q139" s="83"/>
      <c r="R139" s="45"/>
      <c r="S139" s="63"/>
      <c r="T139" s="64"/>
      <c r="U139" s="64"/>
      <c r="V139" s="64"/>
      <c r="W139" s="64"/>
      <c r="X139" s="64"/>
      <c r="Y139" s="154"/>
    </row>
    <row r="140" ht="84" hidden="1" customHeight="1" outlineLevel="1" spans="1:25">
      <c r="A140" s="68" t="s">
        <v>207</v>
      </c>
      <c r="B140" s="83"/>
      <c r="C140" s="83"/>
      <c r="D140" s="45"/>
      <c r="E140" s="63"/>
      <c r="F140" s="64"/>
      <c r="G140" s="64"/>
      <c r="H140" s="64"/>
      <c r="I140" s="64"/>
      <c r="J140" s="64"/>
      <c r="K140" s="67"/>
      <c r="L140" s="60" t="s">
        <v>208</v>
      </c>
      <c r="M140" s="64"/>
      <c r="N140" s="64"/>
      <c r="O140" s="67"/>
      <c r="P140" s="83"/>
      <c r="Q140" s="83"/>
      <c r="R140" s="45"/>
      <c r="S140" s="63"/>
      <c r="T140" s="64"/>
      <c r="U140" s="64"/>
      <c r="V140" s="64"/>
      <c r="W140" s="64"/>
      <c r="X140" s="64"/>
      <c r="Y140" s="154"/>
    </row>
    <row r="141" ht="75.95" hidden="1" customHeight="1" outlineLevel="1" spans="1:25">
      <c r="A141" s="68" t="s">
        <v>209</v>
      </c>
      <c r="B141" s="83"/>
      <c r="C141" s="83"/>
      <c r="D141" s="45"/>
      <c r="E141" s="63"/>
      <c r="F141" s="64"/>
      <c r="G141" s="64"/>
      <c r="H141" s="64"/>
      <c r="I141" s="64"/>
      <c r="J141" s="64"/>
      <c r="K141" s="67"/>
      <c r="L141" s="60" t="s">
        <v>210</v>
      </c>
      <c r="M141" s="64"/>
      <c r="N141" s="64"/>
      <c r="O141" s="67"/>
      <c r="P141" s="45"/>
      <c r="Q141" s="45"/>
      <c r="R141" s="45"/>
      <c r="S141" s="63"/>
      <c r="T141" s="64"/>
      <c r="U141" s="64"/>
      <c r="V141" s="64"/>
      <c r="W141" s="64"/>
      <c r="X141" s="64"/>
      <c r="Y141" s="154"/>
    </row>
    <row r="142" ht="80.45" hidden="1" customHeight="1" outlineLevel="1" spans="1:25">
      <c r="A142" s="68" t="s">
        <v>211</v>
      </c>
      <c r="B142" s="45"/>
      <c r="C142" s="45"/>
      <c r="D142" s="45"/>
      <c r="E142" s="63"/>
      <c r="F142" s="64"/>
      <c r="G142" s="64"/>
      <c r="H142" s="64"/>
      <c r="I142" s="64"/>
      <c r="J142" s="64"/>
      <c r="K142" s="67"/>
      <c r="L142" s="60" t="s">
        <v>212</v>
      </c>
      <c r="M142" s="64"/>
      <c r="N142" s="64"/>
      <c r="O142" s="67"/>
      <c r="P142" s="83"/>
      <c r="Q142" s="83"/>
      <c r="R142" s="45"/>
      <c r="S142" s="63"/>
      <c r="T142" s="64"/>
      <c r="U142" s="64"/>
      <c r="V142" s="64"/>
      <c r="W142" s="64"/>
      <c r="X142" s="64"/>
      <c r="Y142" s="154"/>
    </row>
    <row r="143" ht="72.95" hidden="1" customHeight="1" outlineLevel="1" spans="1:25">
      <c r="A143" s="68" t="s">
        <v>213</v>
      </c>
      <c r="B143" s="83"/>
      <c r="C143" s="83"/>
      <c r="D143" s="45"/>
      <c r="E143" s="63"/>
      <c r="F143" s="64"/>
      <c r="G143" s="64"/>
      <c r="H143" s="64"/>
      <c r="I143" s="64"/>
      <c r="J143" s="64"/>
      <c r="K143" s="67"/>
      <c r="L143" s="60" t="s">
        <v>214</v>
      </c>
      <c r="M143" s="64"/>
      <c r="N143" s="64"/>
      <c r="O143" s="67"/>
      <c r="P143" s="83"/>
      <c r="Q143" s="83"/>
      <c r="R143" s="45"/>
      <c r="S143" s="63"/>
      <c r="T143" s="64"/>
      <c r="U143" s="64"/>
      <c r="V143" s="64"/>
      <c r="W143" s="64"/>
      <c r="X143" s="64"/>
      <c r="Y143" s="154"/>
    </row>
    <row r="144" ht="72.95" hidden="1" customHeight="1" outlineLevel="1" spans="1:25">
      <c r="A144" s="68" t="s">
        <v>215</v>
      </c>
      <c r="B144" s="83"/>
      <c r="C144" s="83"/>
      <c r="D144" s="45"/>
      <c r="E144" s="63"/>
      <c r="F144" s="64"/>
      <c r="G144" s="64"/>
      <c r="H144" s="64"/>
      <c r="I144" s="64"/>
      <c r="J144" s="64"/>
      <c r="K144" s="67"/>
      <c r="L144" s="60" t="s">
        <v>216</v>
      </c>
      <c r="M144" s="64"/>
      <c r="N144" s="64"/>
      <c r="O144" s="67"/>
      <c r="P144" s="45"/>
      <c r="Q144" s="45"/>
      <c r="R144" s="45"/>
      <c r="S144" s="63"/>
      <c r="T144" s="64"/>
      <c r="U144" s="64"/>
      <c r="V144" s="64"/>
      <c r="W144" s="64"/>
      <c r="X144" s="64"/>
      <c r="Y144" s="154"/>
    </row>
    <row r="145" ht="78" hidden="1" customHeight="1" outlineLevel="1" spans="1:25">
      <c r="A145" s="68" t="s">
        <v>217</v>
      </c>
      <c r="B145" s="45"/>
      <c r="C145" s="45"/>
      <c r="D145" s="45"/>
      <c r="E145" s="63"/>
      <c r="F145" s="64"/>
      <c r="G145" s="64"/>
      <c r="H145" s="64"/>
      <c r="I145" s="64"/>
      <c r="J145" s="64"/>
      <c r="K145" s="67"/>
      <c r="L145" s="60" t="s">
        <v>218</v>
      </c>
      <c r="M145" s="64"/>
      <c r="N145" s="64"/>
      <c r="O145" s="67"/>
      <c r="P145" s="83"/>
      <c r="Q145" s="83"/>
      <c r="R145" s="45"/>
      <c r="S145" s="63"/>
      <c r="T145" s="64"/>
      <c r="U145" s="64"/>
      <c r="V145" s="64"/>
      <c r="W145" s="64"/>
      <c r="X145" s="64"/>
      <c r="Y145" s="154"/>
    </row>
    <row r="146" ht="53.45" hidden="1" customHeight="1" outlineLevel="1" spans="1:25">
      <c r="A146" s="68" t="s">
        <v>219</v>
      </c>
      <c r="B146" s="83"/>
      <c r="C146" s="83"/>
      <c r="D146" s="45"/>
      <c r="E146" s="63"/>
      <c r="F146" s="64"/>
      <c r="G146" s="64"/>
      <c r="H146" s="64"/>
      <c r="I146" s="64"/>
      <c r="J146" s="64"/>
      <c r="K146" s="67"/>
      <c r="L146" s="60" t="s">
        <v>220</v>
      </c>
      <c r="M146" s="64"/>
      <c r="N146" s="64"/>
      <c r="O146" s="67"/>
      <c r="P146" s="83"/>
      <c r="Q146" s="83"/>
      <c r="R146" s="45"/>
      <c r="S146" s="63"/>
      <c r="T146" s="64"/>
      <c r="U146" s="64"/>
      <c r="V146" s="64"/>
      <c r="W146" s="64"/>
      <c r="X146" s="64"/>
      <c r="Y146" s="154"/>
    </row>
    <row r="147" ht="55.5" hidden="1" customHeight="1" outlineLevel="1" spans="1:25">
      <c r="A147" s="68" t="s">
        <v>221</v>
      </c>
      <c r="B147" s="83"/>
      <c r="C147" s="83"/>
      <c r="D147" s="45"/>
      <c r="E147" s="63"/>
      <c r="F147" s="64"/>
      <c r="G147" s="64"/>
      <c r="H147" s="64"/>
      <c r="I147" s="64"/>
      <c r="J147" s="64"/>
      <c r="K147" s="67"/>
      <c r="L147" s="60" t="s">
        <v>222</v>
      </c>
      <c r="M147" s="64"/>
      <c r="N147" s="64"/>
      <c r="O147" s="67"/>
      <c r="P147" s="45"/>
      <c r="Q147" s="45"/>
      <c r="R147" s="45"/>
      <c r="S147" s="63"/>
      <c r="T147" s="64"/>
      <c r="U147" s="64"/>
      <c r="V147" s="64"/>
      <c r="W147" s="64"/>
      <c r="X147" s="64"/>
      <c r="Y147" s="154"/>
    </row>
    <row r="148" ht="73.5" hidden="1" customHeight="1" outlineLevel="1" spans="1:25">
      <c r="A148" s="68" t="s">
        <v>223</v>
      </c>
      <c r="B148" s="45"/>
      <c r="C148" s="45"/>
      <c r="D148" s="45"/>
      <c r="E148" s="63"/>
      <c r="F148" s="64"/>
      <c r="G148" s="64"/>
      <c r="H148" s="64"/>
      <c r="I148" s="64"/>
      <c r="J148" s="64"/>
      <c r="K148" s="67"/>
      <c r="L148" s="60" t="s">
        <v>224</v>
      </c>
      <c r="M148" s="64"/>
      <c r="N148" s="64"/>
      <c r="O148" s="67"/>
      <c r="P148" s="83"/>
      <c r="Q148" s="83"/>
      <c r="R148" s="45"/>
      <c r="S148" s="63"/>
      <c r="T148" s="64"/>
      <c r="U148" s="64"/>
      <c r="V148" s="64"/>
      <c r="W148" s="64"/>
      <c r="X148" s="64"/>
      <c r="Y148" s="154"/>
    </row>
    <row r="149" ht="78.95" hidden="1" customHeight="1" outlineLevel="1" spans="1:25">
      <c r="A149" s="68" t="s">
        <v>225</v>
      </c>
      <c r="B149" s="83"/>
      <c r="C149" s="83"/>
      <c r="D149" s="45"/>
      <c r="E149" s="63"/>
      <c r="F149" s="64"/>
      <c r="G149" s="64"/>
      <c r="H149" s="64"/>
      <c r="I149" s="64"/>
      <c r="J149" s="64"/>
      <c r="K149" s="67"/>
      <c r="L149" s="60" t="s">
        <v>226</v>
      </c>
      <c r="M149" s="64"/>
      <c r="N149" s="64"/>
      <c r="O149" s="67"/>
      <c r="P149" s="83"/>
      <c r="Q149" s="83"/>
      <c r="R149" s="45"/>
      <c r="S149" s="63"/>
      <c r="T149" s="64"/>
      <c r="U149" s="64"/>
      <c r="V149" s="64"/>
      <c r="W149" s="64"/>
      <c r="X149" s="64"/>
      <c r="Y149" s="154"/>
    </row>
    <row r="150" ht="57" hidden="1" customHeight="1" outlineLevel="1" spans="1:25">
      <c r="A150" s="77" t="s">
        <v>227</v>
      </c>
      <c r="B150" s="83"/>
      <c r="C150" s="83"/>
      <c r="D150" s="208"/>
      <c r="E150" s="75"/>
      <c r="F150" s="76"/>
      <c r="G150" s="76"/>
      <c r="H150" s="76"/>
      <c r="I150" s="76"/>
      <c r="J150" s="76"/>
      <c r="K150" s="79"/>
      <c r="L150" s="218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26"/>
    </row>
    <row r="151" ht="15.75" hidden="1" customHeight="1" outlineLevel="1" spans="1:25">
      <c r="A151" s="32" t="s">
        <v>52</v>
      </c>
      <c r="B151" s="54" t="s">
        <v>13</v>
      </c>
      <c r="C151" s="18"/>
      <c r="D151" s="26"/>
      <c r="E151" s="160" t="s">
        <v>125</v>
      </c>
      <c r="F151" s="55" t="s">
        <v>15</v>
      </c>
      <c r="G151" s="20"/>
      <c r="H151" s="20"/>
      <c r="I151" s="20"/>
      <c r="J151" s="20"/>
      <c r="K151" s="21"/>
      <c r="L151" s="33" t="s">
        <v>52</v>
      </c>
      <c r="M151" s="20"/>
      <c r="N151" s="20"/>
      <c r="O151" s="21"/>
      <c r="P151" s="54" t="s">
        <v>13</v>
      </c>
      <c r="Q151" s="18"/>
      <c r="R151" s="26"/>
      <c r="S151" s="160" t="s">
        <v>125</v>
      </c>
      <c r="T151" s="55" t="s">
        <v>15</v>
      </c>
      <c r="U151" s="20"/>
      <c r="V151" s="20"/>
      <c r="W151" s="20"/>
      <c r="X151" s="20"/>
      <c r="Y151" s="145"/>
    </row>
    <row r="152" ht="15.75" hidden="1" customHeight="1" outlineLevel="1" spans="1:25">
      <c r="A152" s="56"/>
      <c r="B152" s="209">
        <v>45944</v>
      </c>
      <c r="C152" s="57" t="s">
        <v>30</v>
      </c>
      <c r="D152" s="57" t="s">
        <v>31</v>
      </c>
      <c r="E152" s="56"/>
      <c r="F152" s="23"/>
      <c r="G152" s="24"/>
      <c r="H152" s="24"/>
      <c r="I152" s="24"/>
      <c r="J152" s="24"/>
      <c r="K152" s="25"/>
      <c r="L152" s="23"/>
      <c r="M152" s="24"/>
      <c r="N152" s="24"/>
      <c r="O152" s="25"/>
      <c r="P152" s="209">
        <v>45944</v>
      </c>
      <c r="Q152" s="57" t="s">
        <v>30</v>
      </c>
      <c r="R152" s="57" t="s">
        <v>31</v>
      </c>
      <c r="S152" s="56"/>
      <c r="T152" s="23"/>
      <c r="U152" s="24"/>
      <c r="V152" s="24"/>
      <c r="W152" s="24"/>
      <c r="X152" s="24"/>
      <c r="Y152" s="146"/>
    </row>
    <row r="153" ht="72" hidden="1" customHeight="1" outlineLevel="1" spans="1:25">
      <c r="A153" s="205" t="s">
        <v>228</v>
      </c>
      <c r="B153" s="206"/>
      <c r="C153" s="206"/>
      <c r="D153" s="206"/>
      <c r="E153" s="206"/>
      <c r="F153" s="207"/>
      <c r="G153" s="59"/>
      <c r="H153" s="59"/>
      <c r="I153" s="59"/>
      <c r="J153" s="59"/>
      <c r="K153" s="217"/>
      <c r="L153" s="167" t="s">
        <v>229</v>
      </c>
      <c r="M153" s="59"/>
      <c r="N153" s="59"/>
      <c r="O153" s="217"/>
      <c r="P153" s="206"/>
      <c r="Q153" s="206"/>
      <c r="R153" s="206"/>
      <c r="S153" s="206"/>
      <c r="T153" s="207"/>
      <c r="U153" s="59"/>
      <c r="V153" s="59"/>
      <c r="W153" s="59"/>
      <c r="X153" s="59"/>
      <c r="Y153" s="153"/>
    </row>
    <row r="154" ht="72" hidden="1" customHeight="1" outlineLevel="1" spans="1:25">
      <c r="A154" s="68" t="s">
        <v>230</v>
      </c>
      <c r="B154" s="83"/>
      <c r="C154" s="83"/>
      <c r="D154" s="83"/>
      <c r="E154" s="45"/>
      <c r="F154" s="63"/>
      <c r="G154" s="64"/>
      <c r="H154" s="64"/>
      <c r="I154" s="64"/>
      <c r="J154" s="64"/>
      <c r="K154" s="67"/>
      <c r="L154" s="60" t="s">
        <v>231</v>
      </c>
      <c r="M154" s="64"/>
      <c r="N154" s="64"/>
      <c r="O154" s="67"/>
      <c r="P154" s="83"/>
      <c r="Q154" s="83"/>
      <c r="R154" s="83"/>
      <c r="S154" s="45"/>
      <c r="T154" s="63"/>
      <c r="U154" s="64"/>
      <c r="V154" s="64"/>
      <c r="W154" s="64"/>
      <c r="X154" s="64"/>
      <c r="Y154" s="154"/>
    </row>
    <row r="155" ht="80.45" hidden="1" customHeight="1" outlineLevel="1" spans="1:25">
      <c r="A155" s="77" t="s">
        <v>232</v>
      </c>
      <c r="B155" s="83"/>
      <c r="C155" s="83"/>
      <c r="D155" s="83"/>
      <c r="E155" s="208"/>
      <c r="F155" s="75"/>
      <c r="G155" s="76"/>
      <c r="H155" s="76"/>
      <c r="I155" s="76"/>
      <c r="J155" s="76"/>
      <c r="K155" s="79"/>
      <c r="L155" s="107" t="s">
        <v>233</v>
      </c>
      <c r="M155" s="76"/>
      <c r="N155" s="76"/>
      <c r="O155" s="79"/>
      <c r="P155" s="83"/>
      <c r="Q155" s="83"/>
      <c r="R155" s="83"/>
      <c r="S155" s="208"/>
      <c r="T155" s="75"/>
      <c r="U155" s="76"/>
      <c r="V155" s="76"/>
      <c r="W155" s="76"/>
      <c r="X155" s="76"/>
      <c r="Y155" s="155"/>
    </row>
    <row r="156" ht="15.75" customHeight="1" spans="1:25">
      <c r="A156" s="17" t="s">
        <v>234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44"/>
    </row>
    <row r="157" ht="15.75" customHeight="1" outlineLevel="1" spans="1:25">
      <c r="A157" s="32" t="s">
        <v>52</v>
      </c>
      <c r="B157" s="54" t="s">
        <v>122</v>
      </c>
      <c r="C157" s="26"/>
      <c r="D157" s="160" t="s">
        <v>125</v>
      </c>
      <c r="E157" s="55" t="s">
        <v>15</v>
      </c>
      <c r="F157" s="20"/>
      <c r="G157" s="20"/>
      <c r="H157" s="20"/>
      <c r="I157" s="20"/>
      <c r="J157" s="20"/>
      <c r="K157" s="21"/>
      <c r="L157" s="33" t="s">
        <v>52</v>
      </c>
      <c r="M157" s="20"/>
      <c r="N157" s="20"/>
      <c r="O157" s="21"/>
      <c r="P157" s="54" t="s">
        <v>122</v>
      </c>
      <c r="Q157" s="26"/>
      <c r="R157" s="160" t="s">
        <v>125</v>
      </c>
      <c r="S157" s="55" t="s">
        <v>15</v>
      </c>
      <c r="T157" s="20"/>
      <c r="U157" s="20"/>
      <c r="V157" s="20"/>
      <c r="W157" s="20"/>
      <c r="X157" s="20"/>
      <c r="Y157" s="145"/>
    </row>
    <row r="158" ht="15.75" customHeight="1" outlineLevel="1" spans="1:25">
      <c r="A158" s="56"/>
      <c r="B158" s="57" t="s">
        <v>123</v>
      </c>
      <c r="C158" s="57" t="s">
        <v>124</v>
      </c>
      <c r="D158" s="56"/>
      <c r="E158" s="23"/>
      <c r="F158" s="24"/>
      <c r="G158" s="24"/>
      <c r="H158" s="24"/>
      <c r="I158" s="24"/>
      <c r="J158" s="24"/>
      <c r="K158" s="25"/>
      <c r="L158" s="23"/>
      <c r="M158" s="24"/>
      <c r="N158" s="24"/>
      <c r="O158" s="25"/>
      <c r="P158" s="57" t="s">
        <v>123</v>
      </c>
      <c r="Q158" s="57" t="s">
        <v>124</v>
      </c>
      <c r="R158" s="56"/>
      <c r="S158" s="23"/>
      <c r="T158" s="24"/>
      <c r="U158" s="24"/>
      <c r="V158" s="24"/>
      <c r="W158" s="24"/>
      <c r="X158" s="24"/>
      <c r="Y158" s="146"/>
    </row>
    <row r="159" ht="15.75" customHeight="1" outlineLevel="1" spans="1:25">
      <c r="A159" s="210" t="s">
        <v>235</v>
      </c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47"/>
    </row>
    <row r="160" ht="57" customHeight="1" outlineLevel="1" spans="1:25">
      <c r="A160" s="71" t="s">
        <v>236</v>
      </c>
      <c r="B160" s="131">
        <v>1965</v>
      </c>
      <c r="C160" s="131">
        <v>3238</v>
      </c>
      <c r="D160" s="45">
        <v>5203</v>
      </c>
      <c r="E160" s="63" t="s">
        <v>237</v>
      </c>
      <c r="F160" s="64"/>
      <c r="G160" s="64"/>
      <c r="H160" s="64"/>
      <c r="I160" s="64"/>
      <c r="J160" s="64"/>
      <c r="K160" s="67"/>
      <c r="L160" s="104" t="s">
        <v>238</v>
      </c>
      <c r="M160" s="105"/>
      <c r="N160" s="105"/>
      <c r="O160" s="106"/>
      <c r="P160" s="131">
        <v>700</v>
      </c>
      <c r="Q160" s="131">
        <v>1025</v>
      </c>
      <c r="R160" s="45">
        <v>1725</v>
      </c>
      <c r="S160" s="133" t="s">
        <v>239</v>
      </c>
      <c r="T160" s="64"/>
      <c r="U160" s="64"/>
      <c r="V160" s="64"/>
      <c r="W160" s="64"/>
      <c r="X160" s="64"/>
      <c r="Y160" s="154"/>
    </row>
    <row r="161" ht="15.75" customHeight="1" outlineLevel="1" spans="1:25">
      <c r="A161" s="68" t="s">
        <v>240</v>
      </c>
      <c r="B161" s="83">
        <v>674</v>
      </c>
      <c r="C161" s="83">
        <v>159</v>
      </c>
      <c r="D161" s="45">
        <v>833</v>
      </c>
      <c r="E161" s="211" t="s">
        <v>241</v>
      </c>
      <c r="F161" s="137"/>
      <c r="G161" s="137"/>
      <c r="H161" s="137"/>
      <c r="I161" s="137"/>
      <c r="J161" s="137"/>
      <c r="K161" s="177"/>
      <c r="L161" s="60" t="s">
        <v>242</v>
      </c>
      <c r="M161" s="64"/>
      <c r="N161" s="64"/>
      <c r="O161" s="67"/>
      <c r="P161" s="83">
        <v>231</v>
      </c>
      <c r="Q161" s="83">
        <v>70</v>
      </c>
      <c r="R161" s="45">
        <v>301</v>
      </c>
      <c r="S161" s="211" t="s">
        <v>241</v>
      </c>
      <c r="T161" s="137"/>
      <c r="U161" s="137"/>
      <c r="V161" s="137"/>
      <c r="W161" s="137"/>
      <c r="X161" s="137"/>
      <c r="Y161" s="157"/>
    </row>
    <row r="162" ht="15.75" customHeight="1" outlineLevel="1" spans="1:25">
      <c r="A162" s="68" t="s">
        <v>243</v>
      </c>
      <c r="B162" s="83">
        <v>673</v>
      </c>
      <c r="C162" s="83">
        <v>653</v>
      </c>
      <c r="D162" s="45">
        <v>1326</v>
      </c>
      <c r="E162" s="140"/>
      <c r="F162" s="16"/>
      <c r="G162" s="16"/>
      <c r="H162" s="16"/>
      <c r="I162" s="16"/>
      <c r="J162" s="16"/>
      <c r="K162" s="178"/>
      <c r="L162" s="60" t="s">
        <v>244</v>
      </c>
      <c r="M162" s="64"/>
      <c r="N162" s="64"/>
      <c r="O162" s="67"/>
      <c r="P162" s="83">
        <v>157</v>
      </c>
      <c r="Q162" s="83">
        <v>50</v>
      </c>
      <c r="R162" s="45">
        <v>207</v>
      </c>
      <c r="S162" s="140"/>
      <c r="T162" s="16"/>
      <c r="U162" s="16"/>
      <c r="V162" s="16"/>
      <c r="W162" s="16"/>
      <c r="X162" s="16"/>
      <c r="Y162" s="117"/>
    </row>
    <row r="163" ht="15.75" customHeight="1" outlineLevel="1" spans="1:25">
      <c r="A163" s="68" t="s">
        <v>245</v>
      </c>
      <c r="B163" s="83">
        <v>373</v>
      </c>
      <c r="C163" s="83">
        <v>438</v>
      </c>
      <c r="D163" s="45">
        <v>811</v>
      </c>
      <c r="E163" s="140"/>
      <c r="F163" s="16"/>
      <c r="G163" s="16"/>
      <c r="H163" s="16"/>
      <c r="I163" s="16"/>
      <c r="J163" s="16"/>
      <c r="K163" s="178"/>
      <c r="L163" s="60" t="s">
        <v>246</v>
      </c>
      <c r="M163" s="64"/>
      <c r="N163" s="64"/>
      <c r="O163" s="67"/>
      <c r="P163" s="83">
        <v>122</v>
      </c>
      <c r="Q163" s="83">
        <v>157</v>
      </c>
      <c r="R163" s="45">
        <v>279</v>
      </c>
      <c r="S163" s="140"/>
      <c r="T163" s="16"/>
      <c r="U163" s="16"/>
      <c r="V163" s="16"/>
      <c r="W163" s="16"/>
      <c r="X163" s="16"/>
      <c r="Y163" s="117"/>
    </row>
    <row r="164" ht="15.75" customHeight="1" outlineLevel="1" spans="1:25">
      <c r="A164" s="68" t="s">
        <v>247</v>
      </c>
      <c r="B164" s="83">
        <v>613</v>
      </c>
      <c r="C164" s="83">
        <v>718</v>
      </c>
      <c r="D164" s="45">
        <v>1331</v>
      </c>
      <c r="E164" s="140"/>
      <c r="F164" s="16"/>
      <c r="G164" s="16"/>
      <c r="H164" s="16"/>
      <c r="I164" s="16"/>
      <c r="J164" s="16"/>
      <c r="K164" s="178"/>
      <c r="L164" s="60" t="s">
        <v>248</v>
      </c>
      <c r="M164" s="64"/>
      <c r="N164" s="64"/>
      <c r="O164" s="67"/>
      <c r="P164" s="83">
        <v>137</v>
      </c>
      <c r="Q164" s="83">
        <v>170</v>
      </c>
      <c r="R164" s="45">
        <v>307</v>
      </c>
      <c r="S164" s="140"/>
      <c r="T164" s="16"/>
      <c r="U164" s="16"/>
      <c r="V164" s="16"/>
      <c r="W164" s="16"/>
      <c r="X164" s="16"/>
      <c r="Y164" s="117"/>
    </row>
    <row r="165" ht="15.75" customHeight="1" outlineLevel="1" spans="1:25">
      <c r="A165" s="68" t="s">
        <v>249</v>
      </c>
      <c r="B165" s="83">
        <v>408</v>
      </c>
      <c r="C165" s="83">
        <v>794</v>
      </c>
      <c r="D165" s="45">
        <v>1202</v>
      </c>
      <c r="E165" s="140"/>
      <c r="F165" s="16"/>
      <c r="G165" s="16"/>
      <c r="H165" s="16"/>
      <c r="I165" s="16"/>
      <c r="J165" s="16"/>
      <c r="K165" s="178"/>
      <c r="L165" s="60" t="s">
        <v>250</v>
      </c>
      <c r="M165" s="64"/>
      <c r="N165" s="64"/>
      <c r="O165" s="67"/>
      <c r="P165" s="83">
        <v>114</v>
      </c>
      <c r="Q165" s="83">
        <v>196</v>
      </c>
      <c r="R165" s="45">
        <v>310</v>
      </c>
      <c r="S165" s="140"/>
      <c r="T165" s="16"/>
      <c r="U165" s="16"/>
      <c r="V165" s="16"/>
      <c r="W165" s="16"/>
      <c r="X165" s="16"/>
      <c r="Y165" s="117"/>
    </row>
    <row r="166" ht="15.75" customHeight="1" outlineLevel="1" spans="1:25">
      <c r="A166" s="68" t="s">
        <v>251</v>
      </c>
      <c r="B166" s="83">
        <v>103</v>
      </c>
      <c r="C166" s="83">
        <v>173</v>
      </c>
      <c r="D166" s="45">
        <v>276</v>
      </c>
      <c r="E166" s="141"/>
      <c r="F166" s="97"/>
      <c r="G166" s="97"/>
      <c r="H166" s="97"/>
      <c r="I166" s="97"/>
      <c r="J166" s="97"/>
      <c r="K166" s="181"/>
      <c r="L166" s="60" t="s">
        <v>252</v>
      </c>
      <c r="M166" s="64"/>
      <c r="N166" s="64"/>
      <c r="O166" s="67"/>
      <c r="P166" s="83">
        <v>30</v>
      </c>
      <c r="Q166" s="83">
        <v>42</v>
      </c>
      <c r="R166" s="45">
        <v>72</v>
      </c>
      <c r="S166" s="141"/>
      <c r="T166" s="97"/>
      <c r="U166" s="97"/>
      <c r="V166" s="97"/>
      <c r="W166" s="97"/>
      <c r="X166" s="97"/>
      <c r="Y166" s="119"/>
    </row>
    <row r="167" ht="15.75" customHeight="1" outlineLevel="1" spans="1:25">
      <c r="A167" s="210" t="s">
        <v>253</v>
      </c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210" t="s">
        <v>254</v>
      </c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47"/>
    </row>
    <row r="168" ht="60.95" customHeight="1" outlineLevel="1" spans="1:25">
      <c r="A168" s="68" t="s">
        <v>255</v>
      </c>
      <c r="B168" s="83">
        <v>314</v>
      </c>
      <c r="C168" s="83">
        <v>457</v>
      </c>
      <c r="D168" s="45">
        <v>771</v>
      </c>
      <c r="E168" s="63" t="s">
        <v>241</v>
      </c>
      <c r="F168" s="64"/>
      <c r="G168" s="64"/>
      <c r="H168" s="64"/>
      <c r="I168" s="64"/>
      <c r="J168" s="64"/>
      <c r="K168" s="67"/>
      <c r="L168" s="60" t="s">
        <v>256</v>
      </c>
      <c r="M168" s="64"/>
      <c r="N168" s="64"/>
      <c r="O168" s="67"/>
      <c r="P168" s="83">
        <v>103</v>
      </c>
      <c r="Q168" s="83">
        <v>184</v>
      </c>
      <c r="R168" s="45">
        <v>287</v>
      </c>
      <c r="S168" s="63" t="s">
        <v>241</v>
      </c>
      <c r="T168" s="64"/>
      <c r="U168" s="64"/>
      <c r="V168" s="64"/>
      <c r="W168" s="64"/>
      <c r="X168" s="64"/>
      <c r="Y168" s="154"/>
    </row>
    <row r="169" ht="31.5" customHeight="1" outlineLevel="1" spans="1:25">
      <c r="A169" s="80" t="s">
        <v>257</v>
      </c>
      <c r="B169" s="45">
        <v>0</v>
      </c>
      <c r="C169" s="45">
        <v>0</v>
      </c>
      <c r="D169" s="45">
        <v>0</v>
      </c>
      <c r="E169" s="63"/>
      <c r="F169" s="64"/>
      <c r="G169" s="64"/>
      <c r="H169" s="64"/>
      <c r="I169" s="64"/>
      <c r="J169" s="64"/>
      <c r="K169" s="67"/>
      <c r="L169" s="220" t="s">
        <v>258</v>
      </c>
      <c r="M169" s="165"/>
      <c r="N169" s="165"/>
      <c r="O169" s="221"/>
      <c r="P169" s="45">
        <v>0</v>
      </c>
      <c r="Q169" s="45">
        <v>0</v>
      </c>
      <c r="R169" s="45">
        <v>0</v>
      </c>
      <c r="S169" s="63"/>
      <c r="T169" s="64"/>
      <c r="U169" s="64"/>
      <c r="V169" s="64"/>
      <c r="W169" s="64"/>
      <c r="X169" s="64"/>
      <c r="Y169" s="154"/>
    </row>
    <row r="170" ht="19.5" customHeight="1" outlineLevel="1" spans="1:25">
      <c r="A170" s="68" t="s">
        <v>259</v>
      </c>
      <c r="B170" s="45">
        <v>0</v>
      </c>
      <c r="C170" s="45">
        <v>0</v>
      </c>
      <c r="D170" s="45">
        <v>0</v>
      </c>
      <c r="E170" s="63"/>
      <c r="F170" s="64"/>
      <c r="G170" s="64"/>
      <c r="H170" s="64"/>
      <c r="I170" s="64"/>
      <c r="J170" s="64"/>
      <c r="K170" s="67"/>
      <c r="L170" s="222" t="s">
        <v>259</v>
      </c>
      <c r="M170" s="223"/>
      <c r="N170" s="223"/>
      <c r="O170" s="224"/>
      <c r="P170" s="45">
        <v>0</v>
      </c>
      <c r="Q170" s="45">
        <v>0</v>
      </c>
      <c r="R170" s="45">
        <v>0</v>
      </c>
      <c r="S170" s="63"/>
      <c r="T170" s="64"/>
      <c r="U170" s="64"/>
      <c r="V170" s="64"/>
      <c r="W170" s="64"/>
      <c r="X170" s="64"/>
      <c r="Y170" s="154"/>
    </row>
    <row r="171" ht="19.5" customHeight="1" outlineLevel="1" spans="1:25">
      <c r="A171" s="68" t="s">
        <v>260</v>
      </c>
      <c r="B171" s="45">
        <v>0</v>
      </c>
      <c r="C171" s="45">
        <v>0</v>
      </c>
      <c r="D171" s="45">
        <v>0</v>
      </c>
      <c r="E171" s="63"/>
      <c r="F171" s="64"/>
      <c r="G171" s="64"/>
      <c r="H171" s="64"/>
      <c r="I171" s="64"/>
      <c r="J171" s="64"/>
      <c r="K171" s="67"/>
      <c r="L171" s="222" t="s">
        <v>260</v>
      </c>
      <c r="M171" s="223"/>
      <c r="N171" s="223"/>
      <c r="O171" s="224"/>
      <c r="P171" s="45">
        <v>0</v>
      </c>
      <c r="Q171" s="45">
        <v>0</v>
      </c>
      <c r="R171" s="45">
        <v>0</v>
      </c>
      <c r="S171" s="63"/>
      <c r="T171" s="64"/>
      <c r="U171" s="64"/>
      <c r="V171" s="64"/>
      <c r="W171" s="64"/>
      <c r="X171" s="64"/>
      <c r="Y171" s="154"/>
    </row>
    <row r="172" ht="72" customHeight="1" outlineLevel="1" spans="1:25">
      <c r="A172" s="68" t="s">
        <v>261</v>
      </c>
      <c r="B172" s="83">
        <v>221</v>
      </c>
      <c r="C172" s="83">
        <v>324</v>
      </c>
      <c r="D172" s="45">
        <v>545</v>
      </c>
      <c r="E172" s="63" t="s">
        <v>241</v>
      </c>
      <c r="F172" s="64"/>
      <c r="G172" s="64"/>
      <c r="H172" s="64"/>
      <c r="I172" s="64"/>
      <c r="J172" s="64"/>
      <c r="K172" s="67"/>
      <c r="L172" s="60" t="s">
        <v>262</v>
      </c>
      <c r="M172" s="64"/>
      <c r="N172" s="64"/>
      <c r="O172" s="67"/>
      <c r="P172" s="83">
        <v>49</v>
      </c>
      <c r="Q172" s="83">
        <v>122</v>
      </c>
      <c r="R172" s="45">
        <v>171</v>
      </c>
      <c r="S172" s="63" t="s">
        <v>241</v>
      </c>
      <c r="T172" s="64"/>
      <c r="U172" s="64"/>
      <c r="V172" s="64"/>
      <c r="W172" s="64"/>
      <c r="X172" s="64"/>
      <c r="Y172" s="154"/>
    </row>
    <row r="173" ht="33.75" customHeight="1" outlineLevel="1" spans="1:25">
      <c r="A173" s="80" t="s">
        <v>263</v>
      </c>
      <c r="B173" s="45">
        <v>0</v>
      </c>
      <c r="C173" s="45">
        <v>0</v>
      </c>
      <c r="D173" s="45">
        <v>0</v>
      </c>
      <c r="E173" s="63"/>
      <c r="F173" s="64"/>
      <c r="G173" s="64"/>
      <c r="H173" s="64"/>
      <c r="I173" s="64"/>
      <c r="J173" s="64"/>
      <c r="K173" s="67"/>
      <c r="L173" s="220" t="s">
        <v>264</v>
      </c>
      <c r="M173" s="165"/>
      <c r="N173" s="165"/>
      <c r="O173" s="221"/>
      <c r="P173" s="45">
        <v>0</v>
      </c>
      <c r="Q173" s="45">
        <v>0</v>
      </c>
      <c r="R173" s="45">
        <v>0</v>
      </c>
      <c r="S173" s="63"/>
      <c r="T173" s="64"/>
      <c r="U173" s="64"/>
      <c r="V173" s="64"/>
      <c r="W173" s="64"/>
      <c r="X173" s="64"/>
      <c r="Y173" s="154"/>
    </row>
    <row r="174" ht="19.5" customHeight="1" outlineLevel="1" spans="1:25">
      <c r="A174" s="68" t="s">
        <v>265</v>
      </c>
      <c r="B174" s="45">
        <v>0</v>
      </c>
      <c r="C174" s="45">
        <v>0</v>
      </c>
      <c r="D174" s="45">
        <v>0</v>
      </c>
      <c r="E174" s="63"/>
      <c r="F174" s="64"/>
      <c r="G174" s="64"/>
      <c r="H174" s="64"/>
      <c r="I174" s="64"/>
      <c r="J174" s="64"/>
      <c r="K174" s="67"/>
      <c r="L174" s="60" t="s">
        <v>265</v>
      </c>
      <c r="M174" s="64"/>
      <c r="N174" s="64"/>
      <c r="O174" s="67"/>
      <c r="P174" s="45">
        <v>0</v>
      </c>
      <c r="Q174" s="45">
        <v>0</v>
      </c>
      <c r="R174" s="45">
        <v>0</v>
      </c>
      <c r="S174" s="63"/>
      <c r="T174" s="64"/>
      <c r="U174" s="64"/>
      <c r="V174" s="64"/>
      <c r="W174" s="64"/>
      <c r="X174" s="64"/>
      <c r="Y174" s="154"/>
    </row>
    <row r="175" ht="19.5" customHeight="1" outlineLevel="1" spans="1:25">
      <c r="A175" s="68" t="s">
        <v>266</v>
      </c>
      <c r="B175" s="45">
        <v>0</v>
      </c>
      <c r="C175" s="45">
        <v>0</v>
      </c>
      <c r="D175" s="45">
        <v>0</v>
      </c>
      <c r="E175" s="63"/>
      <c r="F175" s="64"/>
      <c r="G175" s="64"/>
      <c r="H175" s="64"/>
      <c r="I175" s="64"/>
      <c r="J175" s="64"/>
      <c r="K175" s="67"/>
      <c r="L175" s="60" t="s">
        <v>266</v>
      </c>
      <c r="M175" s="64"/>
      <c r="N175" s="64"/>
      <c r="O175" s="67"/>
      <c r="P175" s="45">
        <v>0</v>
      </c>
      <c r="Q175" s="45">
        <v>0</v>
      </c>
      <c r="R175" s="45">
        <v>0</v>
      </c>
      <c r="S175" s="63"/>
      <c r="T175" s="64"/>
      <c r="U175" s="64"/>
      <c r="V175" s="64"/>
      <c r="W175" s="64"/>
      <c r="X175" s="64"/>
      <c r="Y175" s="154"/>
    </row>
    <row r="176" ht="15.75" customHeight="1" outlineLevel="1" spans="1:25">
      <c r="A176" s="32" t="s">
        <v>52</v>
      </c>
      <c r="B176" s="54" t="s">
        <v>122</v>
      </c>
      <c r="C176" s="26"/>
      <c r="D176" s="160" t="s">
        <v>125</v>
      </c>
      <c r="E176" s="55" t="s">
        <v>15</v>
      </c>
      <c r="F176" s="20"/>
      <c r="G176" s="20"/>
      <c r="H176" s="20"/>
      <c r="I176" s="20"/>
      <c r="J176" s="20"/>
      <c r="K176" s="21"/>
      <c r="L176" s="33" t="s">
        <v>52</v>
      </c>
      <c r="M176" s="20"/>
      <c r="N176" s="20"/>
      <c r="O176" s="21"/>
      <c r="P176" s="54" t="s">
        <v>122</v>
      </c>
      <c r="Q176" s="26"/>
      <c r="R176" s="160" t="s">
        <v>125</v>
      </c>
      <c r="S176" s="55" t="s">
        <v>15</v>
      </c>
      <c r="T176" s="20"/>
      <c r="U176" s="20"/>
      <c r="V176" s="20"/>
      <c r="W176" s="20"/>
      <c r="X176" s="20"/>
      <c r="Y176" s="145"/>
    </row>
    <row r="177" ht="15.75" customHeight="1" outlineLevel="1" spans="1:25">
      <c r="A177" s="56"/>
      <c r="B177" s="57" t="s">
        <v>123</v>
      </c>
      <c r="C177" s="57" t="s">
        <v>124</v>
      </c>
      <c r="D177" s="56"/>
      <c r="E177" s="23"/>
      <c r="F177" s="24"/>
      <c r="G177" s="24"/>
      <c r="H177" s="24"/>
      <c r="I177" s="24"/>
      <c r="J177" s="24"/>
      <c r="K177" s="25"/>
      <c r="L177" s="23"/>
      <c r="M177" s="24"/>
      <c r="N177" s="24"/>
      <c r="O177" s="25"/>
      <c r="P177" s="57" t="s">
        <v>123</v>
      </c>
      <c r="Q177" s="57" t="s">
        <v>124</v>
      </c>
      <c r="R177" s="56"/>
      <c r="S177" s="23"/>
      <c r="T177" s="24"/>
      <c r="U177" s="24"/>
      <c r="V177" s="24"/>
      <c r="W177" s="24"/>
      <c r="X177" s="24"/>
      <c r="Y177" s="146"/>
    </row>
    <row r="178" ht="15.75" customHeight="1" outlineLevel="1" spans="1:25">
      <c r="A178" s="210" t="s">
        <v>267</v>
      </c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210" t="s">
        <v>268</v>
      </c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47"/>
    </row>
    <row r="179" ht="53.45" customHeight="1" outlineLevel="1" spans="1:25">
      <c r="A179" s="68" t="s">
        <v>269</v>
      </c>
      <c r="B179" s="83">
        <v>44</v>
      </c>
      <c r="C179" s="83">
        <v>76</v>
      </c>
      <c r="D179" s="45">
        <v>120</v>
      </c>
      <c r="E179" s="63" t="s">
        <v>270</v>
      </c>
      <c r="F179" s="64"/>
      <c r="G179" s="64"/>
      <c r="H179" s="64"/>
      <c r="I179" s="64"/>
      <c r="J179" s="64"/>
      <c r="K179" s="67"/>
      <c r="L179" s="60" t="s">
        <v>271</v>
      </c>
      <c r="M179" s="64"/>
      <c r="N179" s="64"/>
      <c r="O179" s="67"/>
      <c r="P179" s="83">
        <v>12</v>
      </c>
      <c r="Q179" s="83">
        <v>18</v>
      </c>
      <c r="R179" s="45">
        <v>30</v>
      </c>
      <c r="S179" s="63" t="s">
        <v>272</v>
      </c>
      <c r="T179" s="64"/>
      <c r="U179" s="64"/>
      <c r="V179" s="64"/>
      <c r="W179" s="64"/>
      <c r="X179" s="64"/>
      <c r="Y179" s="154"/>
    </row>
    <row r="180" ht="53.45" customHeight="1" outlineLevel="1" spans="1:25">
      <c r="A180" s="68" t="s">
        <v>273</v>
      </c>
      <c r="B180" s="83">
        <v>1</v>
      </c>
      <c r="C180" s="83">
        <v>0</v>
      </c>
      <c r="D180" s="45">
        <v>1</v>
      </c>
      <c r="E180" s="132" t="s">
        <v>274</v>
      </c>
      <c r="F180" s="64"/>
      <c r="G180" s="64"/>
      <c r="H180" s="64"/>
      <c r="I180" s="64"/>
      <c r="J180" s="64"/>
      <c r="K180" s="67"/>
      <c r="L180" s="60" t="s">
        <v>275</v>
      </c>
      <c r="M180" s="64"/>
      <c r="N180" s="64"/>
      <c r="O180" s="67"/>
      <c r="P180" s="83">
        <v>2</v>
      </c>
      <c r="Q180" s="83">
        <v>1</v>
      </c>
      <c r="R180" s="45">
        <v>3</v>
      </c>
      <c r="S180" s="63"/>
      <c r="T180" s="64"/>
      <c r="U180" s="64"/>
      <c r="V180" s="64"/>
      <c r="W180" s="64"/>
      <c r="X180" s="64"/>
      <c r="Y180" s="154"/>
    </row>
    <row r="181" ht="43.5" customHeight="1" outlineLevel="1" spans="1:25">
      <c r="A181" s="68" t="s">
        <v>276</v>
      </c>
      <c r="B181" s="83">
        <v>1</v>
      </c>
      <c r="C181" s="83">
        <v>0</v>
      </c>
      <c r="D181" s="45">
        <v>1</v>
      </c>
      <c r="E181" s="63"/>
      <c r="F181" s="64"/>
      <c r="G181" s="64"/>
      <c r="H181" s="64"/>
      <c r="I181" s="64"/>
      <c r="J181" s="64"/>
      <c r="K181" s="67"/>
      <c r="L181" s="60" t="s">
        <v>277</v>
      </c>
      <c r="M181" s="64"/>
      <c r="N181" s="64"/>
      <c r="O181" s="67"/>
      <c r="P181" s="83">
        <v>28</v>
      </c>
      <c r="Q181" s="83">
        <v>54</v>
      </c>
      <c r="R181" s="45">
        <v>82</v>
      </c>
      <c r="S181" s="63" t="s">
        <v>278</v>
      </c>
      <c r="T181" s="64"/>
      <c r="U181" s="64"/>
      <c r="V181" s="64"/>
      <c r="W181" s="64"/>
      <c r="X181" s="64"/>
      <c r="Y181" s="154"/>
    </row>
    <row r="182" ht="56.45" customHeight="1" outlineLevel="1" spans="1:25">
      <c r="A182" s="212"/>
      <c r="B182" s="109"/>
      <c r="C182" s="109"/>
      <c r="D182" s="109"/>
      <c r="E182" s="109"/>
      <c r="F182" s="109"/>
      <c r="G182" s="109"/>
      <c r="H182" s="109"/>
      <c r="I182" s="109"/>
      <c r="J182" s="109"/>
      <c r="K182" s="225"/>
      <c r="L182" s="60" t="s">
        <v>279</v>
      </c>
      <c r="M182" s="64"/>
      <c r="N182" s="64"/>
      <c r="O182" s="67"/>
      <c r="P182" s="83">
        <v>23</v>
      </c>
      <c r="Q182" s="83">
        <v>47</v>
      </c>
      <c r="R182" s="45">
        <v>70</v>
      </c>
      <c r="S182" s="63"/>
      <c r="T182" s="64"/>
      <c r="U182" s="64"/>
      <c r="V182" s="64"/>
      <c r="W182" s="64"/>
      <c r="X182" s="64"/>
      <c r="Y182" s="154"/>
    </row>
    <row r="183" ht="15.75" customHeight="1" outlineLevel="1" spans="1:25">
      <c r="A183" s="161" t="s">
        <v>280</v>
      </c>
      <c r="B183" s="64"/>
      <c r="C183" s="64"/>
      <c r="D183" s="64"/>
      <c r="E183" s="64"/>
      <c r="F183" s="64"/>
      <c r="G183" s="64"/>
      <c r="H183" s="64"/>
      <c r="I183" s="64"/>
      <c r="J183" s="64"/>
      <c r="K183" s="67"/>
      <c r="L183" s="161" t="s">
        <v>281</v>
      </c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154"/>
    </row>
    <row r="184" ht="75" customHeight="1" outlineLevel="1" spans="1:25">
      <c r="A184" s="213" t="s">
        <v>282</v>
      </c>
      <c r="B184" s="214">
        <v>0</v>
      </c>
      <c r="C184" s="214">
        <v>376</v>
      </c>
      <c r="D184" s="45">
        <v>376</v>
      </c>
      <c r="E184" s="63"/>
      <c r="F184" s="64"/>
      <c r="G184" s="64"/>
      <c r="H184" s="64"/>
      <c r="I184" s="64"/>
      <c r="J184" s="64"/>
      <c r="K184" s="67"/>
      <c r="L184" s="104" t="s">
        <v>283</v>
      </c>
      <c r="M184" s="105"/>
      <c r="N184" s="105"/>
      <c r="O184" s="106"/>
      <c r="P184" s="131">
        <v>0</v>
      </c>
      <c r="Q184" s="131">
        <v>265</v>
      </c>
      <c r="R184" s="45">
        <v>265</v>
      </c>
      <c r="S184" s="63"/>
      <c r="T184" s="64"/>
      <c r="U184" s="64"/>
      <c r="V184" s="64"/>
      <c r="W184" s="64"/>
      <c r="X184" s="64"/>
      <c r="Y184" s="154"/>
    </row>
    <row r="185" ht="21.75" customHeight="1" outlineLevel="1" spans="1:25">
      <c r="A185" s="71" t="s">
        <v>284</v>
      </c>
      <c r="B185" s="131">
        <v>0</v>
      </c>
      <c r="C185" s="131">
        <v>369</v>
      </c>
      <c r="D185" s="45">
        <v>369</v>
      </c>
      <c r="E185" s="63"/>
      <c r="F185" s="64"/>
      <c r="G185" s="64"/>
      <c r="H185" s="64"/>
      <c r="I185" s="64"/>
      <c r="J185" s="64"/>
      <c r="K185" s="67"/>
      <c r="L185" s="60" t="s">
        <v>285</v>
      </c>
      <c r="M185" s="64"/>
      <c r="N185" s="64"/>
      <c r="O185" s="67"/>
      <c r="P185" s="83">
        <v>0</v>
      </c>
      <c r="Q185" s="83">
        <v>265</v>
      </c>
      <c r="R185" s="45"/>
      <c r="S185" s="63"/>
      <c r="T185" s="64"/>
      <c r="U185" s="64"/>
      <c r="V185" s="64"/>
      <c r="W185" s="64"/>
      <c r="X185" s="64"/>
      <c r="Y185" s="154"/>
    </row>
    <row r="186" ht="21.75" customHeight="1" outlineLevel="1" spans="1:25">
      <c r="A186" s="71" t="s">
        <v>286</v>
      </c>
      <c r="B186" s="131">
        <v>0</v>
      </c>
      <c r="C186" s="131">
        <v>0</v>
      </c>
      <c r="D186" s="45">
        <v>0</v>
      </c>
      <c r="E186" s="63"/>
      <c r="F186" s="64"/>
      <c r="G186" s="64"/>
      <c r="H186" s="64"/>
      <c r="I186" s="64"/>
      <c r="J186" s="64"/>
      <c r="K186" s="67"/>
      <c r="L186" s="60" t="s">
        <v>287</v>
      </c>
      <c r="M186" s="64"/>
      <c r="N186" s="64"/>
      <c r="O186" s="67"/>
      <c r="P186" s="83">
        <v>0</v>
      </c>
      <c r="Q186" s="83">
        <v>0</v>
      </c>
      <c r="R186" s="45"/>
      <c r="S186" s="63"/>
      <c r="T186" s="64"/>
      <c r="U186" s="64"/>
      <c r="V186" s="64"/>
      <c r="W186" s="64"/>
      <c r="X186" s="64"/>
      <c r="Y186" s="154"/>
    </row>
    <row r="187" ht="73.5" customHeight="1" outlineLevel="1" spans="1:25">
      <c r="A187" s="71" t="s">
        <v>288</v>
      </c>
      <c r="B187" s="131">
        <v>0</v>
      </c>
      <c r="C187" s="131">
        <v>0</v>
      </c>
      <c r="D187" s="45">
        <v>0</v>
      </c>
      <c r="E187" s="63"/>
      <c r="F187" s="64"/>
      <c r="G187" s="64"/>
      <c r="H187" s="64"/>
      <c r="I187" s="64"/>
      <c r="J187" s="64"/>
      <c r="K187" s="67"/>
      <c r="L187" s="104" t="s">
        <v>289</v>
      </c>
      <c r="M187" s="105"/>
      <c r="N187" s="105"/>
      <c r="O187" s="106"/>
      <c r="P187" s="131">
        <v>0</v>
      </c>
      <c r="Q187" s="131">
        <v>63</v>
      </c>
      <c r="R187" s="45">
        <v>63</v>
      </c>
      <c r="S187" s="63"/>
      <c r="T187" s="64"/>
      <c r="U187" s="64"/>
      <c r="V187" s="64"/>
      <c r="W187" s="64"/>
      <c r="X187" s="64"/>
      <c r="Y187" s="154"/>
    </row>
    <row r="188" ht="31.5" customHeight="1" outlineLevel="1" spans="1:25">
      <c r="A188" s="71" t="s">
        <v>290</v>
      </c>
      <c r="B188" s="131">
        <v>0</v>
      </c>
      <c r="C188" s="131">
        <v>7</v>
      </c>
      <c r="D188" s="45">
        <v>7</v>
      </c>
      <c r="E188" s="63" t="s">
        <v>291</v>
      </c>
      <c r="F188" s="64"/>
      <c r="G188" s="64"/>
      <c r="H188" s="64"/>
      <c r="I188" s="64"/>
      <c r="J188" s="64"/>
      <c r="K188" s="67"/>
      <c r="L188" s="60" t="s">
        <v>292</v>
      </c>
      <c r="M188" s="64"/>
      <c r="N188" s="64"/>
      <c r="O188" s="67"/>
      <c r="P188" s="83">
        <v>0</v>
      </c>
      <c r="Q188" s="83">
        <v>63</v>
      </c>
      <c r="R188" s="45"/>
      <c r="S188" s="63"/>
      <c r="T188" s="64"/>
      <c r="U188" s="64"/>
      <c r="V188" s="64"/>
      <c r="W188" s="64"/>
      <c r="X188" s="64"/>
      <c r="Y188" s="154"/>
    </row>
    <row r="189" ht="39.95" customHeight="1" outlineLevel="1" spans="1:25">
      <c r="A189" s="68" t="s">
        <v>293</v>
      </c>
      <c r="B189" s="131">
        <v>0</v>
      </c>
      <c r="C189" s="131">
        <v>0</v>
      </c>
      <c r="D189" s="45">
        <v>0</v>
      </c>
      <c r="E189" s="63"/>
      <c r="F189" s="64"/>
      <c r="G189" s="64"/>
      <c r="H189" s="64"/>
      <c r="I189" s="64"/>
      <c r="J189" s="64"/>
      <c r="K189" s="67"/>
      <c r="L189" s="60" t="s">
        <v>294</v>
      </c>
      <c r="M189" s="64"/>
      <c r="N189" s="64"/>
      <c r="O189" s="67"/>
      <c r="P189" s="83">
        <v>0</v>
      </c>
      <c r="Q189" s="83">
        <v>0</v>
      </c>
      <c r="R189" s="45">
        <v>0</v>
      </c>
      <c r="S189" s="63"/>
      <c r="T189" s="64"/>
      <c r="U189" s="64"/>
      <c r="V189" s="64"/>
      <c r="W189" s="64"/>
      <c r="X189" s="64"/>
      <c r="Y189" s="154"/>
    </row>
    <row r="190" ht="75.6" customHeight="1" outlineLevel="1" spans="1:25">
      <c r="A190" s="71" t="s">
        <v>295</v>
      </c>
      <c r="B190" s="131">
        <v>0</v>
      </c>
      <c r="C190" s="131">
        <v>0</v>
      </c>
      <c r="D190" s="45">
        <v>0</v>
      </c>
      <c r="E190" s="63"/>
      <c r="F190" s="64"/>
      <c r="G190" s="64"/>
      <c r="H190" s="64"/>
      <c r="I190" s="64"/>
      <c r="J190" s="64"/>
      <c r="K190" s="67"/>
      <c r="L190" s="60" t="s">
        <v>296</v>
      </c>
      <c r="M190" s="64"/>
      <c r="N190" s="64"/>
      <c r="O190" s="67"/>
      <c r="P190" s="83">
        <v>0</v>
      </c>
      <c r="Q190" s="83">
        <v>0</v>
      </c>
      <c r="R190" s="45">
        <v>0</v>
      </c>
      <c r="S190" s="63"/>
      <c r="T190" s="64"/>
      <c r="U190" s="64"/>
      <c r="V190" s="64"/>
      <c r="W190" s="64"/>
      <c r="X190" s="64"/>
      <c r="Y190" s="154"/>
    </row>
    <row r="191" ht="51" customHeight="1" outlineLevel="1" spans="1:25">
      <c r="A191" s="215" t="s">
        <v>297</v>
      </c>
      <c r="B191" s="131">
        <v>0</v>
      </c>
      <c r="C191" s="131">
        <v>0</v>
      </c>
      <c r="D191" s="45">
        <v>0</v>
      </c>
      <c r="E191" s="63"/>
      <c r="F191" s="64"/>
      <c r="G191" s="64"/>
      <c r="H191" s="64"/>
      <c r="I191" s="64"/>
      <c r="J191" s="64"/>
      <c r="K191" s="67"/>
      <c r="L191" s="104" t="s">
        <v>298</v>
      </c>
      <c r="M191" s="105"/>
      <c r="N191" s="105"/>
      <c r="O191" s="106"/>
      <c r="P191" s="131">
        <v>0</v>
      </c>
      <c r="Q191" s="131">
        <v>3</v>
      </c>
      <c r="R191" s="45">
        <v>3</v>
      </c>
      <c r="S191" s="63"/>
      <c r="T191" s="64"/>
      <c r="U191" s="64"/>
      <c r="V191" s="64"/>
      <c r="W191" s="64"/>
      <c r="X191" s="64"/>
      <c r="Y191" s="154"/>
    </row>
    <row r="192" ht="21.75" customHeight="1" outlineLevel="1" spans="1:25">
      <c r="A192" s="215" t="s">
        <v>299</v>
      </c>
      <c r="B192" s="131">
        <v>0</v>
      </c>
      <c r="C192" s="131">
        <v>0</v>
      </c>
      <c r="D192" s="45">
        <v>0</v>
      </c>
      <c r="E192" s="63"/>
      <c r="F192" s="64"/>
      <c r="G192" s="64"/>
      <c r="H192" s="64"/>
      <c r="I192" s="64"/>
      <c r="J192" s="64"/>
      <c r="K192" s="67"/>
      <c r="L192" s="63" t="s">
        <v>300</v>
      </c>
      <c r="M192" s="64"/>
      <c r="N192" s="64"/>
      <c r="O192" s="67"/>
      <c r="P192" s="83">
        <v>0</v>
      </c>
      <c r="Q192" s="83">
        <v>3</v>
      </c>
      <c r="R192" s="45">
        <v>3</v>
      </c>
      <c r="S192" s="63"/>
      <c r="T192" s="64"/>
      <c r="U192" s="64"/>
      <c r="V192" s="64"/>
      <c r="W192" s="64"/>
      <c r="X192" s="64"/>
      <c r="Y192" s="154"/>
    </row>
    <row r="193" ht="36" customHeight="1" outlineLevel="1" spans="1:25">
      <c r="A193" s="68" t="s">
        <v>301</v>
      </c>
      <c r="B193" s="131">
        <v>0</v>
      </c>
      <c r="C193" s="131">
        <v>0</v>
      </c>
      <c r="D193" s="45">
        <v>0</v>
      </c>
      <c r="E193" s="63"/>
      <c r="F193" s="64"/>
      <c r="G193" s="64"/>
      <c r="H193" s="64"/>
      <c r="I193" s="64"/>
      <c r="J193" s="64"/>
      <c r="K193" s="67"/>
      <c r="L193" s="63" t="s">
        <v>302</v>
      </c>
      <c r="M193" s="64"/>
      <c r="N193" s="64"/>
      <c r="O193" s="67"/>
      <c r="P193" s="83">
        <v>0</v>
      </c>
      <c r="Q193" s="83">
        <v>0</v>
      </c>
      <c r="R193" s="45">
        <v>0</v>
      </c>
      <c r="S193" s="63"/>
      <c r="T193" s="64"/>
      <c r="U193" s="64"/>
      <c r="V193" s="64"/>
      <c r="W193" s="64"/>
      <c r="X193" s="64"/>
      <c r="Y193" s="154"/>
    </row>
    <row r="194" ht="48" customHeight="1" outlineLevel="1" spans="1:25">
      <c r="A194" s="71" t="s">
        <v>303</v>
      </c>
      <c r="B194" s="131">
        <v>0</v>
      </c>
      <c r="C194" s="131">
        <v>0</v>
      </c>
      <c r="D194" s="45">
        <v>0</v>
      </c>
      <c r="E194" s="63"/>
      <c r="F194" s="64"/>
      <c r="G194" s="64"/>
      <c r="H194" s="64"/>
      <c r="I194" s="64"/>
      <c r="J194" s="64"/>
      <c r="K194" s="67"/>
      <c r="L194" s="104" t="s">
        <v>304</v>
      </c>
      <c r="M194" s="105"/>
      <c r="N194" s="105"/>
      <c r="O194" s="106"/>
      <c r="P194" s="83">
        <v>0</v>
      </c>
      <c r="Q194" s="83">
        <v>0</v>
      </c>
      <c r="R194" s="45">
        <v>0</v>
      </c>
      <c r="S194" s="63"/>
      <c r="T194" s="64"/>
      <c r="U194" s="64"/>
      <c r="V194" s="64"/>
      <c r="W194" s="64"/>
      <c r="X194" s="64"/>
      <c r="Y194" s="154"/>
    </row>
    <row r="195" ht="21.75" customHeight="1" outlineLevel="1" spans="1:25">
      <c r="A195" s="68" t="s">
        <v>305</v>
      </c>
      <c r="B195" s="131">
        <v>0</v>
      </c>
      <c r="C195" s="131">
        <v>0</v>
      </c>
      <c r="D195" s="45">
        <v>0</v>
      </c>
      <c r="E195" s="63"/>
      <c r="F195" s="64"/>
      <c r="G195" s="64"/>
      <c r="H195" s="64"/>
      <c r="I195" s="64"/>
      <c r="J195" s="64"/>
      <c r="K195" s="67"/>
      <c r="L195" s="63" t="s">
        <v>306</v>
      </c>
      <c r="M195" s="64"/>
      <c r="N195" s="64"/>
      <c r="O195" s="67"/>
      <c r="P195" s="83">
        <v>0</v>
      </c>
      <c r="Q195" s="83">
        <v>0</v>
      </c>
      <c r="R195" s="45">
        <v>0</v>
      </c>
      <c r="S195" s="63"/>
      <c r="T195" s="64"/>
      <c r="U195" s="64"/>
      <c r="V195" s="64"/>
      <c r="W195" s="64"/>
      <c r="X195" s="64"/>
      <c r="Y195" s="154"/>
    </row>
    <row r="196" ht="21.75" customHeight="1" outlineLevel="1" spans="1:25">
      <c r="A196" s="68" t="s">
        <v>307</v>
      </c>
      <c r="B196" s="131">
        <v>0</v>
      </c>
      <c r="C196" s="131">
        <v>0</v>
      </c>
      <c r="D196" s="45">
        <v>0</v>
      </c>
      <c r="E196" s="63"/>
      <c r="F196" s="64"/>
      <c r="G196" s="64"/>
      <c r="H196" s="64"/>
      <c r="I196" s="64"/>
      <c r="J196" s="64"/>
      <c r="K196" s="67"/>
      <c r="L196" s="63" t="s">
        <v>308</v>
      </c>
      <c r="M196" s="64"/>
      <c r="N196" s="64"/>
      <c r="O196" s="67"/>
      <c r="P196" s="83">
        <v>0</v>
      </c>
      <c r="Q196" s="83">
        <v>0</v>
      </c>
      <c r="R196" s="45">
        <v>0</v>
      </c>
      <c r="S196" s="63"/>
      <c r="T196" s="64"/>
      <c r="U196" s="64"/>
      <c r="V196" s="64"/>
      <c r="W196" s="64"/>
      <c r="X196" s="64"/>
      <c r="Y196" s="154"/>
    </row>
    <row r="197" ht="88.5" customHeight="1" outlineLevel="1" spans="1:25">
      <c r="A197" s="227"/>
      <c r="B197" s="185"/>
      <c r="C197" s="185"/>
      <c r="D197" s="185"/>
      <c r="E197" s="185"/>
      <c r="F197" s="185"/>
      <c r="G197" s="185"/>
      <c r="H197" s="185"/>
      <c r="I197" s="185"/>
      <c r="J197" s="185"/>
      <c r="K197" s="246"/>
      <c r="L197" s="107" t="s">
        <v>309</v>
      </c>
      <c r="M197" s="76"/>
      <c r="N197" s="76"/>
      <c r="O197" s="79"/>
      <c r="P197" s="83">
        <v>0</v>
      </c>
      <c r="Q197" s="83">
        <v>0</v>
      </c>
      <c r="R197" s="45">
        <v>0</v>
      </c>
      <c r="S197" s="63"/>
      <c r="T197" s="64"/>
      <c r="U197" s="64"/>
      <c r="V197" s="64"/>
      <c r="W197" s="64"/>
      <c r="X197" s="64"/>
      <c r="Y197" s="154"/>
    </row>
    <row r="198" ht="15.75" customHeight="1" outlineLevel="1" spans="1:25">
      <c r="A198" s="32" t="s">
        <v>52</v>
      </c>
      <c r="B198" s="54" t="s">
        <v>310</v>
      </c>
      <c r="C198" s="18"/>
      <c r="D198" s="18"/>
      <c r="E198" s="18"/>
      <c r="F198" s="18"/>
      <c r="G198" s="18"/>
      <c r="H198" s="18"/>
      <c r="I198" s="26"/>
      <c r="J198" s="55" t="s">
        <v>125</v>
      </c>
      <c r="K198" s="21"/>
      <c r="L198" s="55" t="s">
        <v>15</v>
      </c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145"/>
    </row>
    <row r="199" ht="15.75" customHeight="1" outlineLevel="1" spans="1:25">
      <c r="A199" s="228"/>
      <c r="B199" s="54" t="s">
        <v>311</v>
      </c>
      <c r="C199" s="26"/>
      <c r="D199" s="229">
        <v>45949</v>
      </c>
      <c r="E199" s="26"/>
      <c r="F199" s="54" t="s">
        <v>312</v>
      </c>
      <c r="G199" s="26"/>
      <c r="H199" s="54" t="s">
        <v>313</v>
      </c>
      <c r="I199" s="26"/>
      <c r="J199" s="247"/>
      <c r="K199" s="112"/>
      <c r="L199" s="247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147"/>
    </row>
    <row r="200" ht="15.75" customHeight="1" outlineLevel="1" spans="1:25">
      <c r="A200" s="56"/>
      <c r="B200" s="57" t="s">
        <v>123</v>
      </c>
      <c r="C200" s="57" t="s">
        <v>124</v>
      </c>
      <c r="D200" s="57" t="s">
        <v>123</v>
      </c>
      <c r="E200" s="57" t="s">
        <v>124</v>
      </c>
      <c r="F200" s="57" t="s">
        <v>123</v>
      </c>
      <c r="G200" s="57" t="s">
        <v>124</v>
      </c>
      <c r="H200" s="57" t="s">
        <v>123</v>
      </c>
      <c r="I200" s="57" t="s">
        <v>124</v>
      </c>
      <c r="J200" s="23"/>
      <c r="K200" s="25"/>
      <c r="L200" s="23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146"/>
    </row>
    <row r="201" ht="15.75" customHeight="1" outlineLevel="1" spans="1:25">
      <c r="A201" s="58" t="s">
        <v>314</v>
      </c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153"/>
    </row>
    <row r="202" ht="54.75" customHeight="1" outlineLevel="1" spans="1:25">
      <c r="A202" s="68" t="s">
        <v>315</v>
      </c>
      <c r="B202" s="83">
        <f>SUM('[1]Q1'!B202,'[1]Q2'!B202,'[1]Q3'!B202,'[1]Q4'!B202)</f>
        <v>0</v>
      </c>
      <c r="C202" s="83">
        <f>SUM('[1]Q1'!C202,'[1]Q2'!C202,'[1]Q3'!C202,'[1]Q4'!C202)</f>
        <v>0</v>
      </c>
      <c r="D202" s="83">
        <v>1</v>
      </c>
      <c r="E202" s="83">
        <v>0</v>
      </c>
      <c r="F202" s="83">
        <v>13</v>
      </c>
      <c r="G202" s="83">
        <v>8</v>
      </c>
      <c r="H202" s="83">
        <v>0</v>
      </c>
      <c r="I202" s="83">
        <v>4</v>
      </c>
      <c r="J202" s="61">
        <v>26</v>
      </c>
      <c r="K202" s="67"/>
      <c r="L202" s="63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154"/>
    </row>
    <row r="203" ht="15.75" customHeight="1" spans="1:25">
      <c r="A203" s="54" t="s">
        <v>316</v>
      </c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44"/>
    </row>
    <row r="204" ht="15.75" customHeight="1" outlineLevel="1" spans="1:25">
      <c r="A204" s="32" t="s">
        <v>52</v>
      </c>
      <c r="B204" s="55" t="s">
        <v>125</v>
      </c>
      <c r="C204" s="21"/>
      <c r="D204" s="55" t="s">
        <v>15</v>
      </c>
      <c r="E204" s="20"/>
      <c r="F204" s="20"/>
      <c r="G204" s="20"/>
      <c r="H204" s="20"/>
      <c r="I204" s="20"/>
      <c r="J204" s="20"/>
      <c r="K204" s="21"/>
      <c r="L204" s="33" t="s">
        <v>52</v>
      </c>
      <c r="M204" s="20"/>
      <c r="N204" s="20"/>
      <c r="O204" s="21"/>
      <c r="P204" s="55" t="s">
        <v>125</v>
      </c>
      <c r="Q204" s="21"/>
      <c r="R204" s="55" t="s">
        <v>15</v>
      </c>
      <c r="S204" s="20"/>
      <c r="T204" s="20"/>
      <c r="U204" s="20"/>
      <c r="V204" s="20"/>
      <c r="W204" s="20"/>
      <c r="X204" s="20"/>
      <c r="Y204" s="145"/>
    </row>
    <row r="205" ht="15.75" customHeight="1" outlineLevel="1" spans="1:25">
      <c r="A205" s="56"/>
      <c r="B205" s="23"/>
      <c r="C205" s="25"/>
      <c r="D205" s="23"/>
      <c r="E205" s="24"/>
      <c r="F205" s="24"/>
      <c r="G205" s="24"/>
      <c r="H205" s="24"/>
      <c r="I205" s="24"/>
      <c r="J205" s="24"/>
      <c r="K205" s="25"/>
      <c r="L205" s="23"/>
      <c r="M205" s="24"/>
      <c r="N205" s="24"/>
      <c r="O205" s="25"/>
      <c r="P205" s="23"/>
      <c r="Q205" s="25"/>
      <c r="R205" s="23"/>
      <c r="S205" s="24"/>
      <c r="T205" s="24"/>
      <c r="U205" s="24"/>
      <c r="V205" s="24"/>
      <c r="W205" s="24"/>
      <c r="X205" s="24"/>
      <c r="Y205" s="146"/>
    </row>
    <row r="206" ht="15.75" customHeight="1" outlineLevel="1" spans="1:25">
      <c r="A206" s="58" t="s">
        <v>317</v>
      </c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8" t="s">
        <v>318</v>
      </c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252"/>
      <c r="X206" s="252"/>
      <c r="Y206" s="254"/>
    </row>
    <row r="207" ht="36.75" customHeight="1" outlineLevel="1" spans="1:25">
      <c r="A207" s="71" t="s">
        <v>319</v>
      </c>
      <c r="B207" s="230">
        <v>7404</v>
      </c>
      <c r="C207" s="67"/>
      <c r="D207" s="231"/>
      <c r="E207" s="76"/>
      <c r="F207" s="76"/>
      <c r="G207" s="76"/>
      <c r="H207" s="76"/>
      <c r="I207" s="76"/>
      <c r="J207" s="76"/>
      <c r="K207" s="79"/>
      <c r="L207" s="60" t="s">
        <v>320</v>
      </c>
      <c r="M207" s="64"/>
      <c r="N207" s="64"/>
      <c r="O207" s="67"/>
      <c r="P207" s="230">
        <v>6800</v>
      </c>
      <c r="Q207" s="67"/>
      <c r="R207" s="75"/>
      <c r="S207" s="76"/>
      <c r="T207" s="76"/>
      <c r="U207" s="76"/>
      <c r="V207" s="76"/>
      <c r="W207" s="76"/>
      <c r="X207" s="76"/>
      <c r="Y207" s="155"/>
    </row>
    <row r="208" ht="36" customHeight="1" outlineLevel="1" spans="1:25">
      <c r="A208" s="68" t="s">
        <v>321</v>
      </c>
      <c r="B208" s="61">
        <v>0</v>
      </c>
      <c r="C208" s="232"/>
      <c r="D208" s="233"/>
      <c r="E208" s="231"/>
      <c r="F208" s="231"/>
      <c r="G208" s="231"/>
      <c r="H208" s="231"/>
      <c r="I208" s="231"/>
      <c r="J208" s="231"/>
      <c r="K208" s="28"/>
      <c r="L208" s="60" t="s">
        <v>322</v>
      </c>
      <c r="M208" s="64"/>
      <c r="N208" s="64"/>
      <c r="O208" s="67"/>
      <c r="P208" s="61">
        <v>6800</v>
      </c>
      <c r="Q208" s="253"/>
      <c r="R208" s="233"/>
      <c r="S208" s="75"/>
      <c r="T208" s="75"/>
      <c r="U208" s="75"/>
      <c r="V208" s="75"/>
      <c r="W208" s="75"/>
      <c r="X208" s="75"/>
      <c r="Y208" s="147"/>
    </row>
    <row r="209" ht="87.6" customHeight="1" outlineLevel="1" spans="1:25">
      <c r="A209" s="68" t="s">
        <v>323</v>
      </c>
      <c r="B209" s="61">
        <v>628</v>
      </c>
      <c r="C209" s="232"/>
      <c r="D209" s="233"/>
      <c r="E209" s="231"/>
      <c r="F209" s="231"/>
      <c r="G209" s="231"/>
      <c r="H209" s="231"/>
      <c r="I209" s="231"/>
      <c r="J209" s="231"/>
      <c r="K209" s="28"/>
      <c r="L209" s="60" t="s">
        <v>324</v>
      </c>
      <c r="M209" s="64"/>
      <c r="N209" s="64"/>
      <c r="O209" s="67"/>
      <c r="P209" s="61">
        <v>0</v>
      </c>
      <c r="Q209" s="253"/>
      <c r="R209" s="233"/>
      <c r="S209" s="75"/>
      <c r="T209" s="75"/>
      <c r="U209" s="75"/>
      <c r="V209" s="75"/>
      <c r="W209" s="75"/>
      <c r="X209" s="75"/>
      <c r="Y209" s="147"/>
    </row>
    <row r="210" ht="36" customHeight="1" outlineLevel="1" spans="1:25">
      <c r="A210" s="68" t="s">
        <v>325</v>
      </c>
      <c r="B210" s="61">
        <v>6776</v>
      </c>
      <c r="C210" s="232"/>
      <c r="D210" s="234"/>
      <c r="E210" s="59"/>
      <c r="F210" s="59"/>
      <c r="G210" s="59"/>
      <c r="H210" s="59"/>
      <c r="I210" s="59"/>
      <c r="J210" s="59"/>
      <c r="K210" s="217"/>
      <c r="L210" s="60" t="s">
        <v>326</v>
      </c>
      <c r="M210" s="64"/>
      <c r="N210" s="64"/>
      <c r="O210" s="67"/>
      <c r="P210" s="61">
        <v>0</v>
      </c>
      <c r="Q210" s="253"/>
      <c r="R210" s="234"/>
      <c r="S210" s="59"/>
      <c r="T210" s="59"/>
      <c r="U210" s="59"/>
      <c r="V210" s="59"/>
      <c r="W210" s="59"/>
      <c r="X210" s="59"/>
      <c r="Y210" s="153"/>
    </row>
    <row r="211" ht="30.75" customHeight="1" outlineLevel="1" spans="1:25">
      <c r="A211" s="68" t="s">
        <v>327</v>
      </c>
      <c r="B211" s="61">
        <v>4445</v>
      </c>
      <c r="C211" s="232"/>
      <c r="D211" s="235" t="s">
        <v>328</v>
      </c>
      <c r="E211" s="64"/>
      <c r="F211" s="64"/>
      <c r="G211" s="64"/>
      <c r="H211" s="64"/>
      <c r="I211" s="64"/>
      <c r="J211" s="64"/>
      <c r="K211" s="67"/>
      <c r="L211" s="60" t="s">
        <v>329</v>
      </c>
      <c r="M211" s="64"/>
      <c r="N211" s="64"/>
      <c r="O211" s="67"/>
      <c r="P211" s="61">
        <v>46</v>
      </c>
      <c r="Q211" s="253"/>
      <c r="R211" s="60" t="s">
        <v>330</v>
      </c>
      <c r="S211" s="64"/>
      <c r="T211" s="64"/>
      <c r="U211" s="64"/>
      <c r="V211" s="64"/>
      <c r="W211" s="64"/>
      <c r="X211" s="64"/>
      <c r="Y211" s="154"/>
    </row>
    <row r="212" ht="15.75" customHeight="1" spans="1:25">
      <c r="A212" s="54" t="s">
        <v>331</v>
      </c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44"/>
    </row>
    <row r="213" ht="15.75" customHeight="1" outlineLevel="1" spans="1:25">
      <c r="A213" s="32" t="s">
        <v>52</v>
      </c>
      <c r="B213" s="54" t="s">
        <v>122</v>
      </c>
      <c r="C213" s="18"/>
      <c r="D213" s="26"/>
      <c r="E213" s="55" t="s">
        <v>15</v>
      </c>
      <c r="F213" s="20"/>
      <c r="G213" s="20"/>
      <c r="H213" s="20"/>
      <c r="I213" s="20"/>
      <c r="J213" s="20"/>
      <c r="K213" s="21"/>
      <c r="L213" s="33" t="s">
        <v>52</v>
      </c>
      <c r="M213" s="20"/>
      <c r="N213" s="20"/>
      <c r="O213" s="20"/>
      <c r="P213" s="21"/>
      <c r="Q213" s="54" t="s">
        <v>122</v>
      </c>
      <c r="R213" s="18"/>
      <c r="S213" s="26"/>
      <c r="T213" s="55" t="s">
        <v>15</v>
      </c>
      <c r="U213" s="20"/>
      <c r="V213" s="20"/>
      <c r="W213" s="20"/>
      <c r="X213" s="20"/>
      <c r="Y213" s="145"/>
    </row>
    <row r="214" ht="15.75" customHeight="1" outlineLevel="1" spans="1:25">
      <c r="A214" s="56"/>
      <c r="B214" s="160" t="s">
        <v>123</v>
      </c>
      <c r="C214" s="160" t="s">
        <v>124</v>
      </c>
      <c r="D214" s="160" t="s">
        <v>125</v>
      </c>
      <c r="E214" s="23"/>
      <c r="F214" s="24"/>
      <c r="G214" s="24"/>
      <c r="H214" s="24"/>
      <c r="I214" s="24"/>
      <c r="J214" s="24"/>
      <c r="K214" s="25"/>
      <c r="L214" s="23"/>
      <c r="M214" s="24"/>
      <c r="N214" s="24"/>
      <c r="O214" s="24"/>
      <c r="P214" s="25"/>
      <c r="Q214" s="160" t="s">
        <v>123</v>
      </c>
      <c r="R214" s="160" t="s">
        <v>124</v>
      </c>
      <c r="S214" s="160" t="s">
        <v>125</v>
      </c>
      <c r="T214" s="23"/>
      <c r="U214" s="24"/>
      <c r="V214" s="24"/>
      <c r="W214" s="24"/>
      <c r="X214" s="24"/>
      <c r="Y214" s="146"/>
    </row>
    <row r="215" ht="15.75" customHeight="1" outlineLevel="1" spans="1:25">
      <c r="A215" s="58" t="s">
        <v>332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153"/>
    </row>
    <row r="216" ht="33.75" customHeight="1" outlineLevel="1" spans="1:25">
      <c r="A216" s="68" t="s">
        <v>333</v>
      </c>
      <c r="B216" s="83">
        <v>0</v>
      </c>
      <c r="C216" s="83">
        <v>0</v>
      </c>
      <c r="D216" s="45">
        <v>0</v>
      </c>
      <c r="E216" s="63"/>
      <c r="F216" s="64"/>
      <c r="G216" s="64"/>
      <c r="H216" s="64"/>
      <c r="I216" s="64"/>
      <c r="J216" s="64"/>
      <c r="K216" s="67"/>
      <c r="L216" s="60" t="s">
        <v>334</v>
      </c>
      <c r="M216" s="64"/>
      <c r="N216" s="64"/>
      <c r="O216" s="64"/>
      <c r="P216" s="67"/>
      <c r="Q216" s="83">
        <v>0</v>
      </c>
      <c r="R216" s="83">
        <v>0</v>
      </c>
      <c r="S216" s="45">
        <v>0</v>
      </c>
      <c r="T216" s="63"/>
      <c r="U216" s="64"/>
      <c r="V216" s="64"/>
      <c r="W216" s="64"/>
      <c r="X216" s="64"/>
      <c r="Y216" s="154"/>
    </row>
    <row r="217" ht="34.5" customHeight="1" outlineLevel="1" spans="1:25">
      <c r="A217" s="68" t="s">
        <v>335</v>
      </c>
      <c r="B217" s="83">
        <v>0</v>
      </c>
      <c r="C217" s="83">
        <v>0</v>
      </c>
      <c r="D217" s="45">
        <v>0</v>
      </c>
      <c r="E217" s="63"/>
      <c r="F217" s="64"/>
      <c r="G217" s="64"/>
      <c r="H217" s="64"/>
      <c r="I217" s="64"/>
      <c r="J217" s="64"/>
      <c r="K217" s="67"/>
      <c r="L217" s="60" t="s">
        <v>336</v>
      </c>
      <c r="M217" s="64"/>
      <c r="N217" s="64"/>
      <c r="O217" s="64"/>
      <c r="P217" s="67"/>
      <c r="Q217" s="83">
        <v>0</v>
      </c>
      <c r="R217" s="83">
        <v>0</v>
      </c>
      <c r="S217" s="45">
        <v>0</v>
      </c>
      <c r="T217" s="63"/>
      <c r="U217" s="64"/>
      <c r="V217" s="64"/>
      <c r="W217" s="64"/>
      <c r="X217" s="64"/>
      <c r="Y217" s="154"/>
    </row>
    <row r="218" ht="36" customHeight="1" outlineLevel="1" spans="1:25">
      <c r="A218" s="68" t="s">
        <v>337</v>
      </c>
      <c r="B218" s="83">
        <v>0</v>
      </c>
      <c r="C218" s="83">
        <v>0</v>
      </c>
      <c r="D218" s="45">
        <v>0</v>
      </c>
      <c r="E218" s="63"/>
      <c r="F218" s="64"/>
      <c r="G218" s="64"/>
      <c r="H218" s="64"/>
      <c r="I218" s="64"/>
      <c r="J218" s="64"/>
      <c r="K218" s="67"/>
      <c r="L218" s="60" t="s">
        <v>338</v>
      </c>
      <c r="M218" s="64"/>
      <c r="N218" s="64"/>
      <c r="O218" s="64"/>
      <c r="P218" s="67"/>
      <c r="Q218" s="83">
        <v>0</v>
      </c>
      <c r="R218" s="83">
        <v>0</v>
      </c>
      <c r="S218" s="45">
        <v>0</v>
      </c>
      <c r="T218" s="63"/>
      <c r="U218" s="64"/>
      <c r="V218" s="64"/>
      <c r="W218" s="64"/>
      <c r="X218" s="64"/>
      <c r="Y218" s="154"/>
    </row>
    <row r="219" ht="35" customHeight="1" outlineLevel="1" spans="1:25">
      <c r="A219" s="68" t="s">
        <v>339</v>
      </c>
      <c r="B219" s="83">
        <v>0</v>
      </c>
      <c r="C219" s="236">
        <v>0</v>
      </c>
      <c r="D219" s="45">
        <v>0</v>
      </c>
      <c r="E219" s="63"/>
      <c r="F219" s="64"/>
      <c r="G219" s="64"/>
      <c r="H219" s="64"/>
      <c r="I219" s="64"/>
      <c r="J219" s="64"/>
      <c r="K219" s="67"/>
      <c r="L219" s="60" t="s">
        <v>340</v>
      </c>
      <c r="M219" s="64"/>
      <c r="N219" s="64"/>
      <c r="O219" s="64"/>
      <c r="P219" s="67"/>
      <c r="Q219" s="83">
        <v>0</v>
      </c>
      <c r="R219" s="83">
        <v>0</v>
      </c>
      <c r="S219" s="45">
        <v>0</v>
      </c>
      <c r="T219" s="63"/>
      <c r="U219" s="64"/>
      <c r="V219" s="64"/>
      <c r="W219" s="64"/>
      <c r="X219" s="64"/>
      <c r="Y219" s="154"/>
    </row>
    <row r="220" ht="15.75" customHeight="1" outlineLevel="1" spans="1:25">
      <c r="A220" s="58" t="s">
        <v>341</v>
      </c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153"/>
    </row>
    <row r="221" ht="49.5" customHeight="1" outlineLevel="1" spans="1:25">
      <c r="A221" s="237" t="s">
        <v>342</v>
      </c>
      <c r="B221" s="131">
        <v>0</v>
      </c>
      <c r="C221" s="131">
        <v>0</v>
      </c>
      <c r="D221" s="45">
        <v>0</v>
      </c>
      <c r="E221" s="63"/>
      <c r="F221" s="64"/>
      <c r="G221" s="64"/>
      <c r="H221" s="64"/>
      <c r="I221" s="64"/>
      <c r="J221" s="64"/>
      <c r="K221" s="67"/>
      <c r="L221" s="104" t="s">
        <v>343</v>
      </c>
      <c r="M221" s="105"/>
      <c r="N221" s="105"/>
      <c r="O221" s="105"/>
      <c r="P221" s="106"/>
      <c r="Q221" s="131">
        <v>0</v>
      </c>
      <c r="R221" s="131">
        <v>0</v>
      </c>
      <c r="S221" s="45">
        <v>0</v>
      </c>
      <c r="T221" s="63"/>
      <c r="U221" s="64"/>
      <c r="V221" s="64"/>
      <c r="W221" s="64"/>
      <c r="X221" s="64"/>
      <c r="Y221" s="154"/>
    </row>
    <row r="222" ht="15.75" customHeight="1" outlineLevel="1" spans="1:25">
      <c r="A222" s="238" t="s">
        <v>344</v>
      </c>
      <c r="B222" s="131">
        <v>0</v>
      </c>
      <c r="C222" s="131">
        <v>0</v>
      </c>
      <c r="D222" s="45">
        <v>0</v>
      </c>
      <c r="E222" s="63"/>
      <c r="F222" s="64"/>
      <c r="G222" s="64"/>
      <c r="H222" s="64"/>
      <c r="I222" s="64"/>
      <c r="J222" s="64"/>
      <c r="K222" s="67"/>
      <c r="L222" s="60" t="s">
        <v>344</v>
      </c>
      <c r="M222" s="64"/>
      <c r="N222" s="64"/>
      <c r="O222" s="64"/>
      <c r="P222" s="67"/>
      <c r="Q222" s="131">
        <v>0</v>
      </c>
      <c r="R222" s="131">
        <v>0</v>
      </c>
      <c r="S222" s="45">
        <v>0</v>
      </c>
      <c r="T222" s="63"/>
      <c r="U222" s="64"/>
      <c r="V222" s="64"/>
      <c r="W222" s="64"/>
      <c r="X222" s="64"/>
      <c r="Y222" s="154"/>
    </row>
    <row r="223" ht="15.75" customHeight="1" outlineLevel="1" spans="1:25">
      <c r="A223" s="238" t="s">
        <v>345</v>
      </c>
      <c r="B223" s="131">
        <v>0</v>
      </c>
      <c r="C223" s="131">
        <v>0</v>
      </c>
      <c r="D223" s="45">
        <v>0</v>
      </c>
      <c r="E223" s="63"/>
      <c r="F223" s="64"/>
      <c r="G223" s="64"/>
      <c r="H223" s="64"/>
      <c r="I223" s="64"/>
      <c r="J223" s="64"/>
      <c r="K223" s="67"/>
      <c r="L223" s="60" t="s">
        <v>345</v>
      </c>
      <c r="M223" s="64"/>
      <c r="N223" s="64"/>
      <c r="O223" s="64"/>
      <c r="P223" s="67"/>
      <c r="Q223" s="131">
        <v>0</v>
      </c>
      <c r="R223" s="131">
        <v>0</v>
      </c>
      <c r="S223" s="45">
        <v>0</v>
      </c>
      <c r="T223" s="63"/>
      <c r="U223" s="64"/>
      <c r="V223" s="64"/>
      <c r="W223" s="64"/>
      <c r="X223" s="64"/>
      <c r="Y223" s="154"/>
    </row>
    <row r="224" ht="51.95" customHeight="1" outlineLevel="1" spans="1:25">
      <c r="A224" s="237" t="s">
        <v>346</v>
      </c>
      <c r="B224" s="131">
        <v>0</v>
      </c>
      <c r="C224" s="131">
        <v>0</v>
      </c>
      <c r="D224" s="45">
        <v>0</v>
      </c>
      <c r="E224" s="63"/>
      <c r="F224" s="64"/>
      <c r="G224" s="64"/>
      <c r="H224" s="64"/>
      <c r="I224" s="64"/>
      <c r="J224" s="64"/>
      <c r="K224" s="67"/>
      <c r="L224" s="104" t="s">
        <v>347</v>
      </c>
      <c r="M224" s="105"/>
      <c r="N224" s="105"/>
      <c r="O224" s="105"/>
      <c r="P224" s="106"/>
      <c r="Q224" s="131">
        <v>0</v>
      </c>
      <c r="R224" s="131">
        <v>0</v>
      </c>
      <c r="S224" s="45">
        <v>0</v>
      </c>
      <c r="T224" s="63"/>
      <c r="U224" s="64"/>
      <c r="V224" s="64"/>
      <c r="W224" s="64"/>
      <c r="X224" s="64"/>
      <c r="Y224" s="154"/>
    </row>
    <row r="225" ht="15.75" customHeight="1" outlineLevel="1" spans="1:25">
      <c r="A225" s="238" t="s">
        <v>344</v>
      </c>
      <c r="B225" s="131">
        <v>0</v>
      </c>
      <c r="C225" s="131">
        <v>0</v>
      </c>
      <c r="D225" s="45">
        <v>0</v>
      </c>
      <c r="E225" s="63"/>
      <c r="F225" s="64"/>
      <c r="G225" s="64"/>
      <c r="H225" s="64"/>
      <c r="I225" s="64"/>
      <c r="J225" s="64"/>
      <c r="K225" s="67"/>
      <c r="L225" s="60" t="s">
        <v>344</v>
      </c>
      <c r="M225" s="64"/>
      <c r="N225" s="64"/>
      <c r="O225" s="64"/>
      <c r="P225" s="67"/>
      <c r="Q225" s="131">
        <v>0</v>
      </c>
      <c r="R225" s="131">
        <v>0</v>
      </c>
      <c r="S225" s="45">
        <v>0</v>
      </c>
      <c r="T225" s="63"/>
      <c r="U225" s="64"/>
      <c r="V225" s="64"/>
      <c r="W225" s="64"/>
      <c r="X225" s="64"/>
      <c r="Y225" s="154"/>
    </row>
    <row r="226" ht="15.75" customHeight="1" outlineLevel="1" spans="1:25">
      <c r="A226" s="238" t="s">
        <v>345</v>
      </c>
      <c r="B226" s="131">
        <v>0</v>
      </c>
      <c r="C226" s="131">
        <v>0</v>
      </c>
      <c r="D226" s="45">
        <v>0</v>
      </c>
      <c r="E226" s="63"/>
      <c r="F226" s="64"/>
      <c r="G226" s="64"/>
      <c r="H226" s="64"/>
      <c r="I226" s="64"/>
      <c r="J226" s="64"/>
      <c r="K226" s="67"/>
      <c r="L226" s="60" t="s">
        <v>345</v>
      </c>
      <c r="M226" s="64"/>
      <c r="N226" s="64"/>
      <c r="O226" s="64"/>
      <c r="P226" s="67"/>
      <c r="Q226" s="131">
        <v>0</v>
      </c>
      <c r="R226" s="131">
        <v>0</v>
      </c>
      <c r="S226" s="45">
        <v>0</v>
      </c>
      <c r="T226" s="63"/>
      <c r="U226" s="64"/>
      <c r="V226" s="64"/>
      <c r="W226" s="64"/>
      <c r="X226" s="64"/>
      <c r="Y226" s="154"/>
    </row>
    <row r="227" ht="15.75" customHeight="1" outlineLevel="1" spans="1:25">
      <c r="A227" s="237" t="s">
        <v>348</v>
      </c>
      <c r="B227" s="131">
        <v>0</v>
      </c>
      <c r="C227" s="131">
        <v>0</v>
      </c>
      <c r="D227" s="45">
        <v>0</v>
      </c>
      <c r="E227" s="63"/>
      <c r="F227" s="64"/>
      <c r="G227" s="64"/>
      <c r="H227" s="64"/>
      <c r="I227" s="64"/>
      <c r="J227" s="64"/>
      <c r="K227" s="67"/>
      <c r="L227" s="104" t="s">
        <v>349</v>
      </c>
      <c r="M227" s="105"/>
      <c r="N227" s="105"/>
      <c r="O227" s="105"/>
      <c r="P227" s="106"/>
      <c r="Q227" s="131">
        <v>0</v>
      </c>
      <c r="R227" s="131">
        <v>0</v>
      </c>
      <c r="S227" s="45">
        <v>0</v>
      </c>
      <c r="T227" s="63"/>
      <c r="U227" s="64"/>
      <c r="V227" s="64"/>
      <c r="W227" s="64"/>
      <c r="X227" s="64"/>
      <c r="Y227" s="154"/>
    </row>
    <row r="228" ht="15.75" customHeight="1" outlineLevel="1" spans="1:25">
      <c r="A228" s="238" t="s">
        <v>344</v>
      </c>
      <c r="B228" s="131">
        <v>0</v>
      </c>
      <c r="C228" s="131">
        <v>0</v>
      </c>
      <c r="D228" s="45">
        <v>0</v>
      </c>
      <c r="E228" s="63"/>
      <c r="F228" s="64"/>
      <c r="G228" s="64"/>
      <c r="H228" s="64"/>
      <c r="I228" s="64"/>
      <c r="J228" s="64"/>
      <c r="K228" s="67"/>
      <c r="L228" s="60" t="s">
        <v>344</v>
      </c>
      <c r="M228" s="64"/>
      <c r="N228" s="64"/>
      <c r="O228" s="64"/>
      <c r="P228" s="67"/>
      <c r="Q228" s="131">
        <v>0</v>
      </c>
      <c r="R228" s="131">
        <v>0</v>
      </c>
      <c r="S228" s="45">
        <v>0</v>
      </c>
      <c r="T228" s="63"/>
      <c r="U228" s="64"/>
      <c r="V228" s="64"/>
      <c r="W228" s="64"/>
      <c r="X228" s="64"/>
      <c r="Y228" s="154"/>
    </row>
    <row r="229" ht="15.75" customHeight="1" outlineLevel="1" spans="1:25">
      <c r="A229" s="238" t="s">
        <v>345</v>
      </c>
      <c r="B229" s="131">
        <v>0</v>
      </c>
      <c r="C229" s="131">
        <v>0</v>
      </c>
      <c r="D229" s="45">
        <v>0</v>
      </c>
      <c r="E229" s="63"/>
      <c r="F229" s="64"/>
      <c r="G229" s="64"/>
      <c r="H229" s="64"/>
      <c r="I229" s="64"/>
      <c r="J229" s="64"/>
      <c r="K229" s="67"/>
      <c r="L229" s="60" t="s">
        <v>345</v>
      </c>
      <c r="M229" s="64"/>
      <c r="N229" s="64"/>
      <c r="O229" s="64"/>
      <c r="P229" s="67"/>
      <c r="Q229" s="131">
        <v>0</v>
      </c>
      <c r="R229" s="131">
        <v>0</v>
      </c>
      <c r="S229" s="45">
        <v>0</v>
      </c>
      <c r="T229" s="63"/>
      <c r="U229" s="64"/>
      <c r="V229" s="64"/>
      <c r="W229" s="64"/>
      <c r="X229" s="64"/>
      <c r="Y229" s="154"/>
    </row>
    <row r="230" ht="15.75" customHeight="1" outlineLevel="1" spans="1:25">
      <c r="A230" s="237" t="s">
        <v>350</v>
      </c>
      <c r="B230" s="131">
        <v>0</v>
      </c>
      <c r="C230" s="131">
        <v>0</v>
      </c>
      <c r="D230" s="45">
        <v>0</v>
      </c>
      <c r="E230" s="63"/>
      <c r="F230" s="64"/>
      <c r="G230" s="64"/>
      <c r="H230" s="64"/>
      <c r="I230" s="64"/>
      <c r="J230" s="64"/>
      <c r="K230" s="67"/>
      <c r="L230" s="104" t="s">
        <v>351</v>
      </c>
      <c r="M230" s="105"/>
      <c r="N230" s="105"/>
      <c r="O230" s="105"/>
      <c r="P230" s="106"/>
      <c r="Q230" s="131">
        <v>0</v>
      </c>
      <c r="R230" s="131">
        <v>0</v>
      </c>
      <c r="S230" s="45">
        <v>0</v>
      </c>
      <c r="T230" s="63"/>
      <c r="U230" s="64"/>
      <c r="V230" s="64"/>
      <c r="W230" s="64"/>
      <c r="X230" s="64"/>
      <c r="Y230" s="154"/>
    </row>
    <row r="231" ht="15.75" customHeight="1" outlineLevel="1" spans="1:25">
      <c r="A231" s="238" t="s">
        <v>344</v>
      </c>
      <c r="B231" s="131">
        <v>0</v>
      </c>
      <c r="C231" s="131">
        <v>0</v>
      </c>
      <c r="D231" s="45">
        <v>0</v>
      </c>
      <c r="E231" s="63"/>
      <c r="F231" s="64"/>
      <c r="G231" s="64"/>
      <c r="H231" s="64"/>
      <c r="I231" s="64"/>
      <c r="J231" s="64"/>
      <c r="K231" s="67"/>
      <c r="L231" s="60" t="s">
        <v>344</v>
      </c>
      <c r="M231" s="64"/>
      <c r="N231" s="64"/>
      <c r="O231" s="64"/>
      <c r="P231" s="67"/>
      <c r="Q231" s="131">
        <v>0</v>
      </c>
      <c r="R231" s="131">
        <v>0</v>
      </c>
      <c r="S231" s="45">
        <v>0</v>
      </c>
      <c r="T231" s="63"/>
      <c r="U231" s="64"/>
      <c r="V231" s="64"/>
      <c r="W231" s="64"/>
      <c r="X231" s="64"/>
      <c r="Y231" s="154"/>
    </row>
    <row r="232" ht="15.75" customHeight="1" outlineLevel="1" spans="1:25">
      <c r="A232" s="238" t="s">
        <v>345</v>
      </c>
      <c r="B232" s="131">
        <v>0</v>
      </c>
      <c r="C232" s="131">
        <v>0</v>
      </c>
      <c r="D232" s="45">
        <v>0</v>
      </c>
      <c r="E232" s="63"/>
      <c r="F232" s="64"/>
      <c r="G232" s="64"/>
      <c r="H232" s="64"/>
      <c r="I232" s="64"/>
      <c r="J232" s="64"/>
      <c r="K232" s="67"/>
      <c r="L232" s="60" t="s">
        <v>345</v>
      </c>
      <c r="M232" s="64"/>
      <c r="N232" s="64"/>
      <c r="O232" s="64"/>
      <c r="P232" s="67"/>
      <c r="Q232" s="131">
        <v>0</v>
      </c>
      <c r="R232" s="131">
        <v>0</v>
      </c>
      <c r="S232" s="45">
        <v>0</v>
      </c>
      <c r="T232" s="63"/>
      <c r="U232" s="64"/>
      <c r="V232" s="64"/>
      <c r="W232" s="64"/>
      <c r="X232" s="64"/>
      <c r="Y232" s="154"/>
    </row>
    <row r="233" ht="45" outlineLevel="1" spans="1:25">
      <c r="A233" s="237" t="s">
        <v>352</v>
      </c>
      <c r="B233" s="131">
        <v>0</v>
      </c>
      <c r="C233" s="131">
        <v>0</v>
      </c>
      <c r="D233" s="45">
        <v>0</v>
      </c>
      <c r="E233" s="63"/>
      <c r="F233" s="64"/>
      <c r="G233" s="64"/>
      <c r="H233" s="64"/>
      <c r="I233" s="64"/>
      <c r="J233" s="64"/>
      <c r="K233" s="67"/>
      <c r="L233" s="248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96"/>
    </row>
    <row r="234" ht="15.75" customHeight="1" outlineLevel="1" spans="1:25">
      <c r="A234" s="238" t="s">
        <v>344</v>
      </c>
      <c r="B234" s="131">
        <v>0</v>
      </c>
      <c r="C234" s="131">
        <v>0</v>
      </c>
      <c r="D234" s="45">
        <v>0</v>
      </c>
      <c r="E234" s="63"/>
      <c r="F234" s="64"/>
      <c r="G234" s="64"/>
      <c r="H234" s="64"/>
      <c r="I234" s="64"/>
      <c r="J234" s="64"/>
      <c r="K234" s="67"/>
      <c r="L234" s="182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97"/>
    </row>
    <row r="235" ht="15.75" customHeight="1" outlineLevel="1" spans="1:25">
      <c r="A235" s="238" t="s">
        <v>345</v>
      </c>
      <c r="B235" s="131">
        <v>0</v>
      </c>
      <c r="C235" s="131">
        <v>0</v>
      </c>
      <c r="D235" s="45">
        <v>0</v>
      </c>
      <c r="E235" s="63"/>
      <c r="F235" s="64"/>
      <c r="G235" s="64"/>
      <c r="H235" s="64"/>
      <c r="I235" s="64"/>
      <c r="J235" s="64"/>
      <c r="K235" s="67"/>
      <c r="L235" s="184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98"/>
    </row>
    <row r="236" ht="15.75" customHeight="1" outlineLevel="1" spans="1:25">
      <c r="A236" s="32" t="s">
        <v>52</v>
      </c>
      <c r="B236" s="54" t="s">
        <v>122</v>
      </c>
      <c r="C236" s="18"/>
      <c r="D236" s="26"/>
      <c r="E236" s="55" t="s">
        <v>15</v>
      </c>
      <c r="F236" s="20"/>
      <c r="G236" s="20"/>
      <c r="H236" s="20"/>
      <c r="I236" s="20"/>
      <c r="J236" s="20"/>
      <c r="K236" s="21"/>
      <c r="L236" s="110" t="s">
        <v>52</v>
      </c>
      <c r="M236" s="111"/>
      <c r="N236" s="111"/>
      <c r="O236" s="111"/>
      <c r="P236" s="112"/>
      <c r="Q236" s="134" t="s">
        <v>122</v>
      </c>
      <c r="R236" s="24"/>
      <c r="S236" s="25"/>
      <c r="T236" s="135" t="s">
        <v>15</v>
      </c>
      <c r="U236" s="111"/>
      <c r="V236" s="111"/>
      <c r="W236" s="111"/>
      <c r="X236" s="111"/>
      <c r="Y236" s="147"/>
    </row>
    <row r="237" ht="15.75" customHeight="1" outlineLevel="1" spans="1:25">
      <c r="A237" s="56"/>
      <c r="B237" s="160" t="s">
        <v>123</v>
      </c>
      <c r="C237" s="160" t="s">
        <v>124</v>
      </c>
      <c r="D237" s="160" t="s">
        <v>125</v>
      </c>
      <c r="E237" s="23"/>
      <c r="F237" s="24"/>
      <c r="G237" s="24"/>
      <c r="H237" s="24"/>
      <c r="I237" s="24"/>
      <c r="J237" s="24"/>
      <c r="K237" s="25"/>
      <c r="L237" s="23"/>
      <c r="M237" s="24"/>
      <c r="N237" s="24"/>
      <c r="O237" s="24"/>
      <c r="P237" s="25"/>
      <c r="Q237" s="160" t="s">
        <v>123</v>
      </c>
      <c r="R237" s="160" t="s">
        <v>124</v>
      </c>
      <c r="S237" s="160" t="s">
        <v>125</v>
      </c>
      <c r="T237" s="23"/>
      <c r="U237" s="24"/>
      <c r="V237" s="24"/>
      <c r="W237" s="24"/>
      <c r="X237" s="24"/>
      <c r="Y237" s="146"/>
    </row>
    <row r="238" ht="15.75" customHeight="1" outlineLevel="1" spans="1:25">
      <c r="A238" s="58" t="s">
        <v>353</v>
      </c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153"/>
    </row>
    <row r="239" ht="47" customHeight="1" outlineLevel="1" spans="1:25">
      <c r="A239" s="237" t="s">
        <v>354</v>
      </c>
      <c r="B239" s="131">
        <v>0</v>
      </c>
      <c r="C239" s="131">
        <v>0</v>
      </c>
      <c r="D239" s="45">
        <v>0</v>
      </c>
      <c r="E239" s="239" t="s">
        <v>355</v>
      </c>
      <c r="F239" s="240"/>
      <c r="G239" s="240"/>
      <c r="H239" s="240"/>
      <c r="I239" s="240"/>
      <c r="J239" s="240"/>
      <c r="K239" s="249"/>
      <c r="L239" s="104" t="s">
        <v>356</v>
      </c>
      <c r="M239" s="105"/>
      <c r="N239" s="105"/>
      <c r="O239" s="105"/>
      <c r="P239" s="106"/>
      <c r="Q239" s="131">
        <v>0</v>
      </c>
      <c r="R239" s="131">
        <v>0</v>
      </c>
      <c r="S239" s="45">
        <v>0</v>
      </c>
      <c r="T239" s="60" t="s">
        <v>357</v>
      </c>
      <c r="U239" s="64"/>
      <c r="V239" s="64"/>
      <c r="W239" s="64"/>
      <c r="X239" s="64"/>
      <c r="Y239" s="154"/>
    </row>
    <row r="240" ht="15.75" customHeight="1" outlineLevel="1" spans="1:25">
      <c r="A240" s="238" t="s">
        <v>358</v>
      </c>
      <c r="B240" s="131">
        <v>0</v>
      </c>
      <c r="C240" s="131">
        <v>0</v>
      </c>
      <c r="D240" s="45">
        <v>0</v>
      </c>
      <c r="E240" s="241"/>
      <c r="F240" s="16"/>
      <c r="G240" s="16"/>
      <c r="H240" s="16"/>
      <c r="I240" s="16"/>
      <c r="J240" s="16"/>
      <c r="K240" s="250"/>
      <c r="L240" s="60" t="s">
        <v>358</v>
      </c>
      <c r="M240" s="64"/>
      <c r="N240" s="64"/>
      <c r="O240" s="64"/>
      <c r="P240" s="67"/>
      <c r="Q240" s="131">
        <v>0</v>
      </c>
      <c r="R240" s="131">
        <v>0</v>
      </c>
      <c r="S240" s="45">
        <v>0</v>
      </c>
      <c r="T240" s="63"/>
      <c r="U240" s="64"/>
      <c r="V240" s="64"/>
      <c r="W240" s="64"/>
      <c r="X240" s="64"/>
      <c r="Y240" s="154"/>
    </row>
    <row r="241" ht="15.75" customHeight="1" outlineLevel="1" spans="1:25">
      <c r="A241" s="238" t="s">
        <v>359</v>
      </c>
      <c r="B241" s="131">
        <v>0</v>
      </c>
      <c r="C241" s="131">
        <v>0</v>
      </c>
      <c r="D241" s="45">
        <v>0</v>
      </c>
      <c r="E241" s="241"/>
      <c r="F241" s="16"/>
      <c r="G241" s="16"/>
      <c r="H241" s="16"/>
      <c r="I241" s="16"/>
      <c r="J241" s="16"/>
      <c r="K241" s="250"/>
      <c r="L241" s="60" t="s">
        <v>359</v>
      </c>
      <c r="M241" s="64"/>
      <c r="N241" s="64"/>
      <c r="O241" s="64"/>
      <c r="P241" s="67"/>
      <c r="Q241" s="131">
        <v>0</v>
      </c>
      <c r="R241" s="131">
        <v>0</v>
      </c>
      <c r="S241" s="45">
        <v>0</v>
      </c>
      <c r="T241" s="63"/>
      <c r="U241" s="64"/>
      <c r="V241" s="64"/>
      <c r="W241" s="64"/>
      <c r="X241" s="64"/>
      <c r="Y241" s="154"/>
    </row>
    <row r="242" ht="15.75" customHeight="1" outlineLevel="1" spans="1:25">
      <c r="A242" s="238" t="s">
        <v>360</v>
      </c>
      <c r="B242" s="131">
        <v>0</v>
      </c>
      <c r="C242" s="131">
        <v>0</v>
      </c>
      <c r="D242" s="45">
        <v>0</v>
      </c>
      <c r="E242" s="241"/>
      <c r="F242" s="16"/>
      <c r="G242" s="16"/>
      <c r="H242" s="16"/>
      <c r="I242" s="16"/>
      <c r="J242" s="16"/>
      <c r="K242" s="250"/>
      <c r="L242" s="60" t="s">
        <v>360</v>
      </c>
      <c r="M242" s="64"/>
      <c r="N242" s="64"/>
      <c r="O242" s="64"/>
      <c r="P242" s="67"/>
      <c r="Q242" s="131">
        <v>0</v>
      </c>
      <c r="R242" s="131">
        <v>0</v>
      </c>
      <c r="S242" s="45">
        <v>0</v>
      </c>
      <c r="T242" s="63"/>
      <c r="U242" s="64"/>
      <c r="V242" s="64"/>
      <c r="W242" s="64"/>
      <c r="X242" s="64"/>
      <c r="Y242" s="154"/>
    </row>
    <row r="243" ht="15.75" customHeight="1" outlineLevel="1" spans="1:25">
      <c r="A243" s="238" t="s">
        <v>361</v>
      </c>
      <c r="B243" s="131">
        <v>0</v>
      </c>
      <c r="C243" s="131">
        <v>0</v>
      </c>
      <c r="D243" s="45">
        <v>0</v>
      </c>
      <c r="E243" s="242"/>
      <c r="F243" s="243"/>
      <c r="G243" s="243"/>
      <c r="H243" s="243"/>
      <c r="I243" s="243"/>
      <c r="J243" s="243"/>
      <c r="K243" s="251"/>
      <c r="L243" s="60" t="s">
        <v>361</v>
      </c>
      <c r="M243" s="64"/>
      <c r="N243" s="64"/>
      <c r="O243" s="64"/>
      <c r="P243" s="67"/>
      <c r="Q243" s="131">
        <v>0</v>
      </c>
      <c r="R243" s="131">
        <v>0</v>
      </c>
      <c r="S243" s="45">
        <v>0</v>
      </c>
      <c r="T243" s="63"/>
      <c r="U243" s="64"/>
      <c r="V243" s="64"/>
      <c r="W243" s="64"/>
      <c r="X243" s="64"/>
      <c r="Y243" s="154"/>
    </row>
    <row r="244" ht="15.75" customHeight="1" outlineLevel="1" spans="1:25">
      <c r="A244" s="237" t="s">
        <v>362</v>
      </c>
      <c r="B244" s="131">
        <v>0</v>
      </c>
      <c r="C244" s="131">
        <v>0</v>
      </c>
      <c r="D244" s="45">
        <v>0</v>
      </c>
      <c r="E244" s="244" t="s">
        <v>363</v>
      </c>
      <c r="F244" s="240"/>
      <c r="G244" s="240"/>
      <c r="H244" s="240"/>
      <c r="I244" s="240"/>
      <c r="J244" s="240"/>
      <c r="K244" s="249"/>
      <c r="L244" s="104" t="s">
        <v>364</v>
      </c>
      <c r="M244" s="105"/>
      <c r="N244" s="105"/>
      <c r="O244" s="105"/>
      <c r="P244" s="106"/>
      <c r="Q244" s="131">
        <v>0</v>
      </c>
      <c r="R244" s="131">
        <v>0</v>
      </c>
      <c r="S244" s="45">
        <v>0</v>
      </c>
      <c r="T244" s="63"/>
      <c r="U244" s="64"/>
      <c r="V244" s="64"/>
      <c r="W244" s="64"/>
      <c r="X244" s="64"/>
      <c r="Y244" s="154"/>
    </row>
    <row r="245" ht="15.75" customHeight="1" outlineLevel="1" spans="1:25">
      <c r="A245" s="238" t="s">
        <v>358</v>
      </c>
      <c r="B245" s="131">
        <v>0</v>
      </c>
      <c r="C245" s="131">
        <v>0</v>
      </c>
      <c r="D245" s="45">
        <v>0</v>
      </c>
      <c r="E245" s="241"/>
      <c r="F245" s="16"/>
      <c r="G245" s="16"/>
      <c r="H245" s="16"/>
      <c r="I245" s="16"/>
      <c r="J245" s="16"/>
      <c r="K245" s="250"/>
      <c r="L245" s="60" t="s">
        <v>358</v>
      </c>
      <c r="M245" s="64"/>
      <c r="N245" s="64"/>
      <c r="O245" s="64"/>
      <c r="P245" s="67"/>
      <c r="Q245" s="131">
        <v>0</v>
      </c>
      <c r="R245" s="131">
        <v>0</v>
      </c>
      <c r="S245" s="45">
        <v>0</v>
      </c>
      <c r="T245" s="63"/>
      <c r="U245" s="64"/>
      <c r="V245" s="64"/>
      <c r="W245" s="64"/>
      <c r="X245" s="64"/>
      <c r="Y245" s="154"/>
    </row>
    <row r="246" ht="15.75" customHeight="1" outlineLevel="1" spans="1:25">
      <c r="A246" s="238" t="s">
        <v>359</v>
      </c>
      <c r="B246" s="131">
        <v>0</v>
      </c>
      <c r="C246" s="131">
        <v>0</v>
      </c>
      <c r="D246" s="45">
        <v>0</v>
      </c>
      <c r="E246" s="241"/>
      <c r="F246" s="16"/>
      <c r="G246" s="16"/>
      <c r="H246" s="16"/>
      <c r="I246" s="16"/>
      <c r="J246" s="16"/>
      <c r="K246" s="250"/>
      <c r="L246" s="60" t="s">
        <v>359</v>
      </c>
      <c r="M246" s="64"/>
      <c r="N246" s="64"/>
      <c r="O246" s="64"/>
      <c r="P246" s="67"/>
      <c r="Q246" s="131">
        <v>0</v>
      </c>
      <c r="R246" s="131">
        <v>0</v>
      </c>
      <c r="S246" s="45">
        <v>0</v>
      </c>
      <c r="T246" s="63"/>
      <c r="U246" s="64"/>
      <c r="V246" s="64"/>
      <c r="W246" s="64"/>
      <c r="X246" s="64"/>
      <c r="Y246" s="154"/>
    </row>
    <row r="247" ht="15.75" customHeight="1" outlineLevel="1" spans="1:25">
      <c r="A247" s="238" t="s">
        <v>360</v>
      </c>
      <c r="B247" s="131">
        <v>0</v>
      </c>
      <c r="C247" s="131">
        <v>0</v>
      </c>
      <c r="D247" s="45">
        <v>0</v>
      </c>
      <c r="E247" s="241"/>
      <c r="F247" s="16"/>
      <c r="G247" s="16"/>
      <c r="H247" s="16"/>
      <c r="I247" s="16"/>
      <c r="J247" s="16"/>
      <c r="K247" s="250"/>
      <c r="L247" s="60" t="s">
        <v>360</v>
      </c>
      <c r="M247" s="64"/>
      <c r="N247" s="64"/>
      <c r="O247" s="64"/>
      <c r="P247" s="67"/>
      <c r="Q247" s="131">
        <v>0</v>
      </c>
      <c r="R247" s="131">
        <v>0</v>
      </c>
      <c r="S247" s="45">
        <v>0</v>
      </c>
      <c r="T247" s="63"/>
      <c r="U247" s="64"/>
      <c r="V247" s="64"/>
      <c r="W247" s="64"/>
      <c r="X247" s="64"/>
      <c r="Y247" s="154"/>
    </row>
    <row r="248" ht="15.75" customHeight="1" outlineLevel="1" spans="1:25">
      <c r="A248" s="238" t="s">
        <v>361</v>
      </c>
      <c r="B248" s="131">
        <v>0</v>
      </c>
      <c r="C248" s="131">
        <v>0</v>
      </c>
      <c r="D248" s="45">
        <v>0</v>
      </c>
      <c r="E248" s="242"/>
      <c r="F248" s="243"/>
      <c r="G248" s="243"/>
      <c r="H248" s="243"/>
      <c r="I248" s="243"/>
      <c r="J248" s="243"/>
      <c r="K248" s="251"/>
      <c r="L248" s="60" t="s">
        <v>361</v>
      </c>
      <c r="M248" s="64"/>
      <c r="N248" s="64"/>
      <c r="O248" s="64"/>
      <c r="P248" s="67"/>
      <c r="Q248" s="131">
        <v>0</v>
      </c>
      <c r="R248" s="131">
        <v>0</v>
      </c>
      <c r="S248" s="45">
        <v>0</v>
      </c>
      <c r="T248" s="63"/>
      <c r="U248" s="64"/>
      <c r="V248" s="64"/>
      <c r="W248" s="64"/>
      <c r="X248" s="64"/>
      <c r="Y248" s="154"/>
    </row>
    <row r="249" ht="34.5" customHeight="1" outlineLevel="1" spans="1:25">
      <c r="A249" s="237" t="s">
        <v>365</v>
      </c>
      <c r="B249" s="131">
        <v>0</v>
      </c>
      <c r="C249" s="131">
        <v>0</v>
      </c>
      <c r="D249" s="45">
        <v>0</v>
      </c>
      <c r="E249" s="63"/>
      <c r="F249" s="64"/>
      <c r="G249" s="64"/>
      <c r="H249" s="64"/>
      <c r="I249" s="64"/>
      <c r="J249" s="64"/>
      <c r="K249" s="67"/>
      <c r="L249" s="104" t="s">
        <v>366</v>
      </c>
      <c r="M249" s="105"/>
      <c r="N249" s="105"/>
      <c r="O249" s="105"/>
      <c r="P249" s="106"/>
      <c r="Q249" s="131">
        <v>0</v>
      </c>
      <c r="R249" s="131">
        <v>0</v>
      </c>
      <c r="S249" s="45">
        <v>0</v>
      </c>
      <c r="T249" s="60" t="s">
        <v>367</v>
      </c>
      <c r="U249" s="64"/>
      <c r="V249" s="64"/>
      <c r="W249" s="64"/>
      <c r="X249" s="64"/>
      <c r="Y249" s="154"/>
    </row>
    <row r="250" ht="15.75" customHeight="1" outlineLevel="1" spans="1:25">
      <c r="A250" s="238" t="s">
        <v>358</v>
      </c>
      <c r="B250" s="131">
        <v>0</v>
      </c>
      <c r="C250" s="131">
        <v>0</v>
      </c>
      <c r="D250" s="45">
        <v>0</v>
      </c>
      <c r="E250" s="63"/>
      <c r="F250" s="64"/>
      <c r="G250" s="64"/>
      <c r="H250" s="64"/>
      <c r="I250" s="64"/>
      <c r="J250" s="64"/>
      <c r="K250" s="67"/>
      <c r="L250" s="60" t="s">
        <v>358</v>
      </c>
      <c r="M250" s="64"/>
      <c r="N250" s="64"/>
      <c r="O250" s="64"/>
      <c r="P250" s="67"/>
      <c r="Q250" s="131">
        <v>0</v>
      </c>
      <c r="R250" s="131">
        <v>0</v>
      </c>
      <c r="S250" s="45">
        <v>0</v>
      </c>
      <c r="T250" s="63"/>
      <c r="U250" s="64"/>
      <c r="V250" s="64"/>
      <c r="W250" s="64"/>
      <c r="X250" s="64"/>
      <c r="Y250" s="154"/>
    </row>
    <row r="251" ht="15.75" customHeight="1" outlineLevel="1" spans="1:25">
      <c r="A251" s="238" t="s">
        <v>359</v>
      </c>
      <c r="B251" s="131">
        <v>0</v>
      </c>
      <c r="C251" s="131">
        <v>0</v>
      </c>
      <c r="D251" s="45">
        <v>0</v>
      </c>
      <c r="E251" s="63"/>
      <c r="F251" s="64"/>
      <c r="G251" s="64"/>
      <c r="H251" s="64"/>
      <c r="I251" s="64"/>
      <c r="J251" s="64"/>
      <c r="K251" s="67"/>
      <c r="L251" s="60" t="s">
        <v>359</v>
      </c>
      <c r="M251" s="64"/>
      <c r="N251" s="64"/>
      <c r="O251" s="64"/>
      <c r="P251" s="67"/>
      <c r="Q251" s="131">
        <v>0</v>
      </c>
      <c r="R251" s="131">
        <v>0</v>
      </c>
      <c r="S251" s="45">
        <v>0</v>
      </c>
      <c r="T251" s="63"/>
      <c r="U251" s="64"/>
      <c r="V251" s="64"/>
      <c r="W251" s="64"/>
      <c r="X251" s="64"/>
      <c r="Y251" s="154"/>
    </row>
    <row r="252" ht="15.75" customHeight="1" outlineLevel="1" spans="1:25">
      <c r="A252" s="238" t="s">
        <v>360</v>
      </c>
      <c r="B252" s="131">
        <v>0</v>
      </c>
      <c r="C252" s="131">
        <v>0</v>
      </c>
      <c r="D252" s="45">
        <v>0</v>
      </c>
      <c r="E252" s="63"/>
      <c r="F252" s="64"/>
      <c r="G252" s="64"/>
      <c r="H252" s="64"/>
      <c r="I252" s="64"/>
      <c r="J252" s="64"/>
      <c r="K252" s="67"/>
      <c r="L252" s="60" t="s">
        <v>360</v>
      </c>
      <c r="M252" s="64"/>
      <c r="N252" s="64"/>
      <c r="O252" s="64"/>
      <c r="P252" s="67"/>
      <c r="Q252" s="131">
        <v>0</v>
      </c>
      <c r="R252" s="131">
        <v>0</v>
      </c>
      <c r="S252" s="45">
        <v>0</v>
      </c>
      <c r="T252" s="63"/>
      <c r="U252" s="64"/>
      <c r="V252" s="64"/>
      <c r="W252" s="64"/>
      <c r="X252" s="64"/>
      <c r="Y252" s="154"/>
    </row>
    <row r="253" ht="15.75" customHeight="1" outlineLevel="1" spans="1:25">
      <c r="A253" s="238" t="s">
        <v>361</v>
      </c>
      <c r="B253" s="131">
        <v>0</v>
      </c>
      <c r="C253" s="131">
        <v>0</v>
      </c>
      <c r="D253" s="45">
        <v>0</v>
      </c>
      <c r="E253" s="63"/>
      <c r="F253" s="64"/>
      <c r="G253" s="64"/>
      <c r="H253" s="64"/>
      <c r="I253" s="64"/>
      <c r="J253" s="64"/>
      <c r="K253" s="67"/>
      <c r="L253" s="60" t="s">
        <v>361</v>
      </c>
      <c r="M253" s="64"/>
      <c r="N253" s="64"/>
      <c r="O253" s="64"/>
      <c r="P253" s="67"/>
      <c r="Q253" s="131">
        <v>0</v>
      </c>
      <c r="R253" s="131">
        <v>0</v>
      </c>
      <c r="S253" s="45">
        <v>0</v>
      </c>
      <c r="T253" s="63"/>
      <c r="U253" s="64"/>
      <c r="V253" s="64"/>
      <c r="W253" s="64"/>
      <c r="X253" s="64"/>
      <c r="Y253" s="154"/>
    </row>
    <row r="254" ht="32.45" customHeight="1" outlineLevel="1" spans="1:25">
      <c r="A254" s="237" t="s">
        <v>368</v>
      </c>
      <c r="B254" s="131">
        <v>0</v>
      </c>
      <c r="C254" s="131">
        <v>0</v>
      </c>
      <c r="D254" s="45">
        <v>0</v>
      </c>
      <c r="E254" s="63"/>
      <c r="F254" s="64"/>
      <c r="G254" s="64"/>
      <c r="H254" s="64"/>
      <c r="I254" s="64"/>
      <c r="J254" s="64"/>
      <c r="K254" s="67"/>
      <c r="L254" s="104" t="s">
        <v>369</v>
      </c>
      <c r="M254" s="105"/>
      <c r="N254" s="105"/>
      <c r="O254" s="105"/>
      <c r="P254" s="106"/>
      <c r="Q254" s="131">
        <v>0</v>
      </c>
      <c r="R254" s="131">
        <v>0</v>
      </c>
      <c r="S254" s="45">
        <v>0</v>
      </c>
      <c r="T254" s="63"/>
      <c r="U254" s="64"/>
      <c r="V254" s="64"/>
      <c r="W254" s="64"/>
      <c r="X254" s="64"/>
      <c r="Y254" s="154"/>
    </row>
    <row r="255" ht="15.75" customHeight="1" outlineLevel="1" spans="1:25">
      <c r="A255" s="245" t="s">
        <v>370</v>
      </c>
      <c r="B255" s="131">
        <v>0</v>
      </c>
      <c r="C255" s="131">
        <v>0</v>
      </c>
      <c r="D255" s="45">
        <v>0</v>
      </c>
      <c r="E255" s="63"/>
      <c r="F255" s="64"/>
      <c r="G255" s="64"/>
      <c r="H255" s="64"/>
      <c r="I255" s="64"/>
      <c r="J255" s="64"/>
      <c r="K255" s="67"/>
      <c r="L255" s="60" t="s">
        <v>358</v>
      </c>
      <c r="M255" s="64"/>
      <c r="N255" s="64"/>
      <c r="O255" s="64"/>
      <c r="P255" s="67"/>
      <c r="Q255" s="131">
        <v>0</v>
      </c>
      <c r="R255" s="131">
        <v>0</v>
      </c>
      <c r="S255" s="45">
        <v>0</v>
      </c>
      <c r="T255" s="63"/>
      <c r="U255" s="64"/>
      <c r="V255" s="64"/>
      <c r="W255" s="64"/>
      <c r="X255" s="64"/>
      <c r="Y255" s="154"/>
    </row>
    <row r="256" ht="15.75" customHeight="1" outlineLevel="1" spans="1:25">
      <c r="A256" s="238" t="s">
        <v>371</v>
      </c>
      <c r="B256" s="131">
        <v>0</v>
      </c>
      <c r="C256" s="131">
        <v>0</v>
      </c>
      <c r="D256" s="45">
        <v>0</v>
      </c>
      <c r="E256" s="63"/>
      <c r="F256" s="64"/>
      <c r="G256" s="64"/>
      <c r="H256" s="64"/>
      <c r="I256" s="64"/>
      <c r="J256" s="64"/>
      <c r="K256" s="67"/>
      <c r="L256" s="60" t="s">
        <v>359</v>
      </c>
      <c r="M256" s="64"/>
      <c r="N256" s="64"/>
      <c r="O256" s="64"/>
      <c r="P256" s="67"/>
      <c r="Q256" s="131">
        <v>0</v>
      </c>
      <c r="R256" s="131">
        <v>0</v>
      </c>
      <c r="S256" s="45">
        <v>0</v>
      </c>
      <c r="T256" s="63"/>
      <c r="U256" s="64"/>
      <c r="V256" s="64"/>
      <c r="W256" s="64"/>
      <c r="X256" s="64"/>
      <c r="Y256" s="154"/>
    </row>
    <row r="257" ht="15.75" customHeight="1" outlineLevel="1" spans="1:25">
      <c r="A257" s="238" t="s">
        <v>372</v>
      </c>
      <c r="B257" s="131">
        <v>0</v>
      </c>
      <c r="C257" s="131">
        <v>0</v>
      </c>
      <c r="D257" s="45">
        <v>0</v>
      </c>
      <c r="E257" s="63"/>
      <c r="F257" s="64"/>
      <c r="G257" s="64"/>
      <c r="H257" s="64"/>
      <c r="I257" s="64"/>
      <c r="J257" s="64"/>
      <c r="K257" s="67"/>
      <c r="L257" s="60" t="s">
        <v>360</v>
      </c>
      <c r="M257" s="64"/>
      <c r="N257" s="64"/>
      <c r="O257" s="64"/>
      <c r="P257" s="67"/>
      <c r="Q257" s="131">
        <v>0</v>
      </c>
      <c r="R257" s="131">
        <v>0</v>
      </c>
      <c r="S257" s="45">
        <v>0</v>
      </c>
      <c r="T257" s="63"/>
      <c r="U257" s="64"/>
      <c r="V257" s="64"/>
      <c r="W257" s="64"/>
      <c r="X257" s="64"/>
      <c r="Y257" s="154"/>
    </row>
    <row r="258" ht="15.75" customHeight="1" outlineLevel="1" spans="1:25">
      <c r="A258" s="238" t="s">
        <v>373</v>
      </c>
      <c r="B258" s="131">
        <v>0</v>
      </c>
      <c r="C258" s="131">
        <v>0</v>
      </c>
      <c r="D258" s="45">
        <v>0</v>
      </c>
      <c r="E258" s="63"/>
      <c r="F258" s="64"/>
      <c r="G258" s="64"/>
      <c r="H258" s="64"/>
      <c r="I258" s="64"/>
      <c r="J258" s="64"/>
      <c r="K258" s="67"/>
      <c r="L258" s="60" t="s">
        <v>361</v>
      </c>
      <c r="M258" s="64"/>
      <c r="N258" s="64"/>
      <c r="O258" s="64"/>
      <c r="P258" s="67"/>
      <c r="Q258" s="131">
        <v>0</v>
      </c>
      <c r="R258" s="131">
        <v>0</v>
      </c>
      <c r="S258" s="45">
        <v>0</v>
      </c>
      <c r="T258" s="63"/>
      <c r="U258" s="64"/>
      <c r="V258" s="64"/>
      <c r="W258" s="64"/>
      <c r="X258" s="64"/>
      <c r="Y258" s="154"/>
    </row>
    <row r="259" ht="30.95" customHeight="1" outlineLevel="1" spans="1:25">
      <c r="A259" s="32" t="s">
        <v>52</v>
      </c>
      <c r="B259" s="54" t="s">
        <v>122</v>
      </c>
      <c r="C259" s="18"/>
      <c r="D259" s="26"/>
      <c r="E259" s="55" t="s">
        <v>15</v>
      </c>
      <c r="F259" s="20"/>
      <c r="G259" s="20"/>
      <c r="H259" s="20"/>
      <c r="I259" s="20"/>
      <c r="J259" s="20"/>
      <c r="K259" s="21"/>
      <c r="L259" s="110" t="s">
        <v>52</v>
      </c>
      <c r="M259" s="111"/>
      <c r="N259" s="111"/>
      <c r="O259" s="111"/>
      <c r="P259" s="112"/>
      <c r="Q259" s="134" t="s">
        <v>122</v>
      </c>
      <c r="R259" s="24"/>
      <c r="S259" s="25"/>
      <c r="T259" s="135" t="s">
        <v>15</v>
      </c>
      <c r="U259" s="111"/>
      <c r="V259" s="111"/>
      <c r="W259" s="111"/>
      <c r="X259" s="111"/>
      <c r="Y259" s="147"/>
    </row>
    <row r="260" ht="15.75" customHeight="1" outlineLevel="1" spans="1:25">
      <c r="A260" s="56"/>
      <c r="B260" s="160" t="s">
        <v>123</v>
      </c>
      <c r="C260" s="160" t="s">
        <v>124</v>
      </c>
      <c r="D260" s="160" t="s">
        <v>125</v>
      </c>
      <c r="E260" s="23"/>
      <c r="F260" s="24"/>
      <c r="G260" s="24"/>
      <c r="H260" s="24"/>
      <c r="I260" s="24"/>
      <c r="J260" s="24"/>
      <c r="K260" s="25"/>
      <c r="L260" s="23"/>
      <c r="M260" s="24"/>
      <c r="N260" s="24"/>
      <c r="O260" s="24"/>
      <c r="P260" s="25"/>
      <c r="Q260" s="160" t="s">
        <v>123</v>
      </c>
      <c r="R260" s="160" t="s">
        <v>124</v>
      </c>
      <c r="S260" s="160" t="s">
        <v>125</v>
      </c>
      <c r="T260" s="23"/>
      <c r="U260" s="24"/>
      <c r="V260" s="24"/>
      <c r="W260" s="24"/>
      <c r="X260" s="24"/>
      <c r="Y260" s="146"/>
    </row>
    <row r="261" ht="15.75" customHeight="1" outlineLevel="1" spans="1:25">
      <c r="A261" s="58" t="s">
        <v>374</v>
      </c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153"/>
    </row>
    <row r="262" ht="15.75" customHeight="1" outlineLevel="1" spans="1:25">
      <c r="A262" s="71" t="s">
        <v>375</v>
      </c>
      <c r="B262" s="131">
        <v>988</v>
      </c>
      <c r="C262" s="131">
        <v>932</v>
      </c>
      <c r="D262" s="45">
        <v>1920</v>
      </c>
      <c r="E262" s="63"/>
      <c r="F262" s="64"/>
      <c r="G262" s="64"/>
      <c r="H262" s="64"/>
      <c r="I262" s="64"/>
      <c r="J262" s="64"/>
      <c r="K262" s="67"/>
      <c r="L262" s="104" t="s">
        <v>376</v>
      </c>
      <c r="M262" s="105"/>
      <c r="N262" s="105"/>
      <c r="O262" s="105"/>
      <c r="P262" s="106"/>
      <c r="Q262" s="131">
        <v>0</v>
      </c>
      <c r="R262" s="131">
        <v>0</v>
      </c>
      <c r="S262" s="45">
        <v>0</v>
      </c>
      <c r="T262" s="63"/>
      <c r="U262" s="64"/>
      <c r="V262" s="64"/>
      <c r="W262" s="64"/>
      <c r="X262" s="64"/>
      <c r="Y262" s="154"/>
    </row>
    <row r="263" ht="15.75" customHeight="1" outlineLevel="1" spans="1:25">
      <c r="A263" s="71" t="s">
        <v>377</v>
      </c>
      <c r="B263" s="131">
        <v>82</v>
      </c>
      <c r="C263" s="131">
        <v>71</v>
      </c>
      <c r="D263" s="45">
        <v>153</v>
      </c>
      <c r="E263" s="63"/>
      <c r="F263" s="64"/>
      <c r="G263" s="64"/>
      <c r="H263" s="64"/>
      <c r="I263" s="64"/>
      <c r="J263" s="64"/>
      <c r="K263" s="67"/>
      <c r="L263" s="60" t="s">
        <v>378</v>
      </c>
      <c r="M263" s="64"/>
      <c r="N263" s="64"/>
      <c r="O263" s="64"/>
      <c r="P263" s="67"/>
      <c r="Q263" s="83">
        <v>0</v>
      </c>
      <c r="R263" s="83">
        <v>2</v>
      </c>
      <c r="S263" s="45">
        <v>2</v>
      </c>
      <c r="T263" s="63"/>
      <c r="U263" s="64"/>
      <c r="V263" s="64"/>
      <c r="W263" s="64"/>
      <c r="X263" s="64"/>
      <c r="Y263" s="154"/>
    </row>
    <row r="264" ht="15.75" customHeight="1" outlineLevel="1" spans="1:25">
      <c r="A264" s="68" t="s">
        <v>379</v>
      </c>
      <c r="B264" s="83">
        <v>199</v>
      </c>
      <c r="C264" s="83">
        <v>165</v>
      </c>
      <c r="D264" s="45">
        <v>364</v>
      </c>
      <c r="E264" s="63"/>
      <c r="F264" s="64"/>
      <c r="G264" s="64"/>
      <c r="H264" s="64"/>
      <c r="I264" s="64"/>
      <c r="J264" s="64"/>
      <c r="K264" s="67"/>
      <c r="L264" s="280" t="s">
        <v>380</v>
      </c>
      <c r="M264" s="109"/>
      <c r="N264" s="109"/>
      <c r="O264" s="109"/>
      <c r="P264" s="225"/>
      <c r="Q264" s="290"/>
      <c r="R264" s="290"/>
      <c r="S264" s="290"/>
      <c r="T264" s="108"/>
      <c r="U264" s="109"/>
      <c r="V264" s="109"/>
      <c r="W264" s="109"/>
      <c r="X264" s="109"/>
      <c r="Y264" s="156"/>
    </row>
    <row r="265" ht="15.75" customHeight="1" outlineLevel="1" spans="1:25">
      <c r="A265" s="32" t="s">
        <v>52</v>
      </c>
      <c r="B265" s="54" t="s">
        <v>122</v>
      </c>
      <c r="C265" s="18"/>
      <c r="D265" s="26"/>
      <c r="E265" s="55" t="s">
        <v>15</v>
      </c>
      <c r="F265" s="20"/>
      <c r="G265" s="20"/>
      <c r="H265" s="20"/>
      <c r="I265" s="20"/>
      <c r="J265" s="20"/>
      <c r="K265" s="21"/>
      <c r="L265" s="33" t="s">
        <v>52</v>
      </c>
      <c r="M265" s="20"/>
      <c r="N265" s="20"/>
      <c r="O265" s="20"/>
      <c r="P265" s="21"/>
      <c r="Q265" s="54" t="s">
        <v>122</v>
      </c>
      <c r="R265" s="18"/>
      <c r="S265" s="26"/>
      <c r="T265" s="55" t="s">
        <v>15</v>
      </c>
      <c r="U265" s="20"/>
      <c r="V265" s="20"/>
      <c r="W265" s="20"/>
      <c r="X265" s="20"/>
      <c r="Y265" s="145"/>
    </row>
    <row r="266" ht="15.75" customHeight="1" outlineLevel="1" spans="1:25">
      <c r="A266" s="56"/>
      <c r="B266" s="160" t="s">
        <v>123</v>
      </c>
      <c r="C266" s="160" t="s">
        <v>124</v>
      </c>
      <c r="D266" s="160" t="s">
        <v>125</v>
      </c>
      <c r="E266" s="23"/>
      <c r="F266" s="24"/>
      <c r="G266" s="24"/>
      <c r="H266" s="24"/>
      <c r="I266" s="24"/>
      <c r="J266" s="24"/>
      <c r="K266" s="25"/>
      <c r="L266" s="23"/>
      <c r="M266" s="24"/>
      <c r="N266" s="24"/>
      <c r="O266" s="24"/>
      <c r="P266" s="25"/>
      <c r="Q266" s="160" t="s">
        <v>123</v>
      </c>
      <c r="R266" s="160" t="s">
        <v>124</v>
      </c>
      <c r="S266" s="160" t="s">
        <v>125</v>
      </c>
      <c r="T266" s="23"/>
      <c r="U266" s="24"/>
      <c r="V266" s="24"/>
      <c r="W266" s="24"/>
      <c r="X266" s="24"/>
      <c r="Y266" s="146"/>
    </row>
    <row r="267" ht="15.75" customHeight="1" outlineLevel="1" spans="1:25">
      <c r="A267" s="58" t="s">
        <v>381</v>
      </c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153"/>
    </row>
    <row r="268" ht="38.1" customHeight="1" outlineLevel="1" spans="1:25">
      <c r="A268" s="71" t="s">
        <v>382</v>
      </c>
      <c r="B268" s="131"/>
      <c r="C268" s="131"/>
      <c r="D268" s="45"/>
      <c r="E268" s="63"/>
      <c r="F268" s="64"/>
      <c r="G268" s="64"/>
      <c r="H268" s="64"/>
      <c r="I268" s="64"/>
      <c r="J268" s="64"/>
      <c r="K268" s="67"/>
      <c r="L268" s="104" t="s">
        <v>383</v>
      </c>
      <c r="M268" s="105"/>
      <c r="N268" s="105"/>
      <c r="O268" s="105"/>
      <c r="P268" s="106"/>
      <c r="Q268" s="131"/>
      <c r="R268" s="131"/>
      <c r="S268" s="45"/>
      <c r="T268" s="63"/>
      <c r="U268" s="64"/>
      <c r="V268" s="64"/>
      <c r="W268" s="64"/>
      <c r="X268" s="64"/>
      <c r="Y268" s="154"/>
    </row>
    <row r="269" ht="35" customHeight="1" outlineLevel="1" spans="1:25">
      <c r="A269" s="68" t="s">
        <v>384</v>
      </c>
      <c r="B269" s="83">
        <v>0</v>
      </c>
      <c r="C269" s="83">
        <v>0</v>
      </c>
      <c r="D269" s="45">
        <v>0</v>
      </c>
      <c r="E269" s="63"/>
      <c r="F269" s="64"/>
      <c r="G269" s="64"/>
      <c r="H269" s="64"/>
      <c r="I269" s="64"/>
      <c r="J269" s="64"/>
      <c r="K269" s="67"/>
      <c r="L269" s="60" t="s">
        <v>384</v>
      </c>
      <c r="M269" s="64"/>
      <c r="N269" s="64"/>
      <c r="O269" s="64"/>
      <c r="P269" s="67"/>
      <c r="Q269" s="83">
        <v>0</v>
      </c>
      <c r="R269" s="83">
        <v>0</v>
      </c>
      <c r="S269" s="45">
        <v>0</v>
      </c>
      <c r="T269" s="63"/>
      <c r="U269" s="64"/>
      <c r="V269" s="64"/>
      <c r="W269" s="64"/>
      <c r="X269" s="64"/>
      <c r="Y269" s="154"/>
    </row>
    <row r="270" ht="24.75" customHeight="1" outlineLevel="1" spans="1:25">
      <c r="A270" s="68" t="s">
        <v>385</v>
      </c>
      <c r="B270" s="83">
        <v>0</v>
      </c>
      <c r="C270" s="83">
        <v>0</v>
      </c>
      <c r="D270" s="45">
        <v>0</v>
      </c>
      <c r="E270" s="63"/>
      <c r="F270" s="64"/>
      <c r="G270" s="64"/>
      <c r="H270" s="64"/>
      <c r="I270" s="64"/>
      <c r="J270" s="64"/>
      <c r="K270" s="67"/>
      <c r="L270" s="60" t="s">
        <v>385</v>
      </c>
      <c r="M270" s="64"/>
      <c r="N270" s="64"/>
      <c r="O270" s="64"/>
      <c r="P270" s="67"/>
      <c r="Q270" s="83">
        <v>0</v>
      </c>
      <c r="R270" s="83">
        <v>0</v>
      </c>
      <c r="S270" s="45">
        <v>0</v>
      </c>
      <c r="T270" s="63"/>
      <c r="U270" s="64"/>
      <c r="V270" s="64"/>
      <c r="W270" s="64"/>
      <c r="X270" s="64"/>
      <c r="Y270" s="154"/>
    </row>
    <row r="271" ht="24.75" customHeight="1" outlineLevel="1" spans="1:25">
      <c r="A271" s="68" t="s">
        <v>386</v>
      </c>
      <c r="B271" s="83">
        <v>0</v>
      </c>
      <c r="C271" s="83">
        <v>0</v>
      </c>
      <c r="D271" s="45">
        <v>0</v>
      </c>
      <c r="E271" s="63"/>
      <c r="F271" s="64"/>
      <c r="G271" s="64"/>
      <c r="H271" s="64"/>
      <c r="I271" s="64"/>
      <c r="J271" s="64"/>
      <c r="K271" s="67"/>
      <c r="L271" s="60" t="s">
        <v>386</v>
      </c>
      <c r="M271" s="64"/>
      <c r="N271" s="64"/>
      <c r="O271" s="64"/>
      <c r="P271" s="67"/>
      <c r="Q271" s="83">
        <v>0</v>
      </c>
      <c r="R271" s="83">
        <v>0</v>
      </c>
      <c r="S271" s="45">
        <v>0</v>
      </c>
      <c r="T271" s="63"/>
      <c r="U271" s="64"/>
      <c r="V271" s="64"/>
      <c r="W271" s="64"/>
      <c r="X271" s="64"/>
      <c r="Y271" s="154"/>
    </row>
    <row r="272" ht="24.75" customHeight="1" outlineLevel="1" spans="1:25">
      <c r="A272" s="58" t="s">
        <v>387</v>
      </c>
      <c r="B272" s="255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4"/>
    </row>
    <row r="273" ht="24.75" customHeight="1" outlineLevel="1" spans="1:25">
      <c r="A273" s="60" t="s">
        <v>388</v>
      </c>
      <c r="B273" s="256"/>
      <c r="C273" s="83">
        <v>4</v>
      </c>
      <c r="D273" s="45">
        <v>4</v>
      </c>
      <c r="E273" s="63"/>
      <c r="F273" s="64"/>
      <c r="G273" s="64"/>
      <c r="H273" s="64"/>
      <c r="I273" s="64"/>
      <c r="J273" s="64"/>
      <c r="K273" s="67"/>
      <c r="L273" s="60" t="s">
        <v>389</v>
      </c>
      <c r="M273" s="64"/>
      <c r="N273" s="64"/>
      <c r="O273" s="64"/>
      <c r="P273" s="67"/>
      <c r="Q273" s="291"/>
      <c r="R273" s="83">
        <v>4</v>
      </c>
      <c r="S273" s="45">
        <v>4</v>
      </c>
      <c r="T273" s="63"/>
      <c r="U273" s="64"/>
      <c r="V273" s="64"/>
      <c r="W273" s="64"/>
      <c r="X273" s="64"/>
      <c r="Y273" s="154"/>
    </row>
    <row r="274" ht="37.5" customHeight="1" outlineLevel="1" spans="1:25">
      <c r="A274" s="107" t="s">
        <v>390</v>
      </c>
      <c r="B274" s="257"/>
      <c r="C274" s="83">
        <v>0</v>
      </c>
      <c r="D274" s="45">
        <v>0</v>
      </c>
      <c r="E274" s="75"/>
      <c r="F274" s="76"/>
      <c r="G274" s="76"/>
      <c r="H274" s="76"/>
      <c r="I274" s="76"/>
      <c r="J274" s="76"/>
      <c r="K274" s="79"/>
      <c r="L274" s="107" t="s">
        <v>391</v>
      </c>
      <c r="M274" s="76"/>
      <c r="N274" s="76"/>
      <c r="O274" s="76"/>
      <c r="P274" s="79"/>
      <c r="Q274" s="292"/>
      <c r="R274" s="83">
        <v>0</v>
      </c>
      <c r="S274" s="45">
        <v>0</v>
      </c>
      <c r="T274" s="75"/>
      <c r="U274" s="76"/>
      <c r="V274" s="76"/>
      <c r="W274" s="76"/>
      <c r="X274" s="76"/>
      <c r="Y274" s="155"/>
    </row>
    <row r="275" ht="24.75" customHeight="1" outlineLevel="1" spans="1:25">
      <c r="A275" s="258" t="s">
        <v>392</v>
      </c>
      <c r="B275" s="259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9"/>
      <c r="P275" s="259"/>
      <c r="Q275" s="259"/>
      <c r="R275" s="259"/>
      <c r="S275" s="259"/>
      <c r="T275" s="259"/>
      <c r="U275" s="259"/>
      <c r="V275" s="259"/>
      <c r="W275" s="259"/>
      <c r="X275" s="259"/>
      <c r="Y275" s="294"/>
    </row>
    <row r="276" ht="24.75" customHeight="1" outlineLevel="1" spans="1:25">
      <c r="A276" s="260" t="s">
        <v>52</v>
      </c>
      <c r="B276" s="261" t="s">
        <v>13</v>
      </c>
      <c r="C276" s="259"/>
      <c r="D276" s="259"/>
      <c r="E276" s="262"/>
      <c r="F276" s="263" t="s">
        <v>15</v>
      </c>
      <c r="G276" s="76"/>
      <c r="H276" s="76"/>
      <c r="I276" s="76"/>
      <c r="J276" s="76"/>
      <c r="K276" s="281"/>
      <c r="L276" s="282" t="s">
        <v>52</v>
      </c>
      <c r="M276" s="76"/>
      <c r="N276" s="76"/>
      <c r="O276" s="76"/>
      <c r="P276" s="281"/>
      <c r="Q276" s="261" t="s">
        <v>122</v>
      </c>
      <c r="R276" s="259"/>
      <c r="S276" s="262"/>
      <c r="T276" s="293" t="s">
        <v>15</v>
      </c>
      <c r="U276" s="76"/>
      <c r="V276" s="76"/>
      <c r="W276" s="76"/>
      <c r="X276" s="76"/>
      <c r="Y276" s="155"/>
    </row>
    <row r="277" ht="24.75" customHeight="1" outlineLevel="1" spans="1:25">
      <c r="A277" s="264"/>
      <c r="B277" s="265">
        <v>45944</v>
      </c>
      <c r="C277" s="266" t="s">
        <v>30</v>
      </c>
      <c r="D277" s="266" t="s">
        <v>31</v>
      </c>
      <c r="E277" s="266" t="s">
        <v>28</v>
      </c>
      <c r="F277" s="24"/>
      <c r="G277" s="24"/>
      <c r="H277" s="24"/>
      <c r="I277" s="24"/>
      <c r="J277" s="24"/>
      <c r="K277" s="25"/>
      <c r="L277" s="23"/>
      <c r="M277" s="24"/>
      <c r="N277" s="24"/>
      <c r="O277" s="24"/>
      <c r="P277" s="25"/>
      <c r="Q277" s="160" t="s">
        <v>123</v>
      </c>
      <c r="R277" s="160" t="s">
        <v>124</v>
      </c>
      <c r="S277" s="160" t="s">
        <v>125</v>
      </c>
      <c r="T277" s="23"/>
      <c r="U277" s="24"/>
      <c r="V277" s="24"/>
      <c r="W277" s="24"/>
      <c r="X277" s="24"/>
      <c r="Y277" s="146"/>
    </row>
    <row r="278" ht="43" customHeight="1" outlineLevel="1" spans="1:25">
      <c r="A278" s="267" t="s">
        <v>393</v>
      </c>
      <c r="B278" s="268"/>
      <c r="C278" s="268"/>
      <c r="D278" s="268"/>
      <c r="E278" s="268"/>
      <c r="F278" s="268"/>
      <c r="G278" s="268"/>
      <c r="H278" s="268"/>
      <c r="I278" s="268"/>
      <c r="J278" s="268"/>
      <c r="K278" s="283"/>
      <c r="L278" s="267" t="s">
        <v>394</v>
      </c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95"/>
    </row>
    <row r="279" ht="24.75" customHeight="1" outlineLevel="1" spans="1:25">
      <c r="A279" s="269" t="s">
        <v>395</v>
      </c>
      <c r="B279" s="270">
        <v>0</v>
      </c>
      <c r="C279" s="270">
        <v>0</v>
      </c>
      <c r="D279" s="270">
        <v>0</v>
      </c>
      <c r="E279" s="271">
        <v>0</v>
      </c>
      <c r="F279" s="63"/>
      <c r="G279" s="64"/>
      <c r="H279" s="64"/>
      <c r="I279" s="64"/>
      <c r="J279" s="64"/>
      <c r="K279" s="64"/>
      <c r="L279" s="272" t="s">
        <v>396</v>
      </c>
      <c r="M279" s="284"/>
      <c r="N279" s="284"/>
      <c r="O279" s="284"/>
      <c r="P279" s="285"/>
      <c r="Q279" s="83">
        <v>142</v>
      </c>
      <c r="R279" s="83">
        <v>123</v>
      </c>
      <c r="S279" s="81">
        <v>265</v>
      </c>
      <c r="T279" s="244" t="s">
        <v>397</v>
      </c>
      <c r="U279" s="240"/>
      <c r="V279" s="240"/>
      <c r="W279" s="240"/>
      <c r="X279" s="240"/>
      <c r="Y279" s="296"/>
    </row>
    <row r="280" ht="24.75" customHeight="1" outlineLevel="1" spans="1:25">
      <c r="A280" s="269" t="s">
        <v>398</v>
      </c>
      <c r="B280" s="270">
        <v>1</v>
      </c>
      <c r="C280" s="270">
        <v>1</v>
      </c>
      <c r="D280" s="270">
        <v>1</v>
      </c>
      <c r="E280" s="271">
        <v>1</v>
      </c>
      <c r="F280" s="63"/>
      <c r="G280" s="64"/>
      <c r="H280" s="64"/>
      <c r="I280" s="64"/>
      <c r="J280" s="64"/>
      <c r="K280" s="64"/>
      <c r="L280" s="269" t="s">
        <v>399</v>
      </c>
      <c r="M280" s="286"/>
      <c r="N280" s="286"/>
      <c r="O280" s="286"/>
      <c r="P280" s="287"/>
      <c r="Q280" s="273">
        <v>13</v>
      </c>
      <c r="R280" s="273">
        <v>8</v>
      </c>
      <c r="S280" s="81">
        <v>21</v>
      </c>
      <c r="T280" s="241"/>
      <c r="U280" s="16"/>
      <c r="V280" s="16"/>
      <c r="W280" s="16"/>
      <c r="X280" s="16"/>
      <c r="Y280" s="297"/>
    </row>
    <row r="281" ht="54" customHeight="1" outlineLevel="1" spans="1:25">
      <c r="A281" s="272" t="s">
        <v>400</v>
      </c>
      <c r="B281" s="270">
        <v>2</v>
      </c>
      <c r="C281" s="270">
        <v>2</v>
      </c>
      <c r="D281" s="270">
        <v>2</v>
      </c>
      <c r="E281" s="271">
        <v>2</v>
      </c>
      <c r="F281" s="63"/>
      <c r="G281" s="64"/>
      <c r="H281" s="64"/>
      <c r="I281" s="64"/>
      <c r="J281" s="64"/>
      <c r="K281" s="64"/>
      <c r="L281" s="272" t="s">
        <v>401</v>
      </c>
      <c r="M281" s="284"/>
      <c r="N281" s="284"/>
      <c r="O281" s="284"/>
      <c r="P281" s="285"/>
      <c r="Q281" s="83">
        <v>0</v>
      </c>
      <c r="R281" s="83">
        <v>0</v>
      </c>
      <c r="S281" s="81">
        <v>0</v>
      </c>
      <c r="T281" s="241"/>
      <c r="U281" s="16"/>
      <c r="V281" s="16"/>
      <c r="W281" s="16"/>
      <c r="X281" s="16"/>
      <c r="Y281" s="297"/>
    </row>
    <row r="282" ht="52.5" customHeight="1" outlineLevel="1" spans="1:25">
      <c r="A282" s="272" t="s">
        <v>402</v>
      </c>
      <c r="B282" s="270">
        <v>3</v>
      </c>
      <c r="C282" s="270">
        <v>3</v>
      </c>
      <c r="D282" s="270">
        <v>3</v>
      </c>
      <c r="E282" s="271">
        <v>3</v>
      </c>
      <c r="F282" s="63"/>
      <c r="G282" s="64"/>
      <c r="H282" s="64"/>
      <c r="I282" s="64"/>
      <c r="J282" s="64"/>
      <c r="K282" s="64"/>
      <c r="L282" s="272" t="s">
        <v>403</v>
      </c>
      <c r="M282" s="284"/>
      <c r="N282" s="284"/>
      <c r="O282" s="284"/>
      <c r="P282" s="285"/>
      <c r="Q282" s="83">
        <v>1</v>
      </c>
      <c r="R282" s="83">
        <v>0</v>
      </c>
      <c r="S282" s="81">
        <v>1</v>
      </c>
      <c r="T282" s="241"/>
      <c r="U282" s="16"/>
      <c r="V282" s="16"/>
      <c r="W282" s="16"/>
      <c r="X282" s="16"/>
      <c r="Y282" s="297"/>
    </row>
    <row r="283" ht="51.95" customHeight="1" outlineLevel="1" spans="1:25">
      <c r="A283" s="269" t="s">
        <v>404</v>
      </c>
      <c r="B283" s="273">
        <v>0</v>
      </c>
      <c r="C283" s="273">
        <v>0</v>
      </c>
      <c r="D283" s="273">
        <v>0</v>
      </c>
      <c r="E283" s="271">
        <v>0</v>
      </c>
      <c r="F283" s="63"/>
      <c r="G283" s="64"/>
      <c r="H283" s="64"/>
      <c r="I283" s="64"/>
      <c r="J283" s="64"/>
      <c r="K283" s="64"/>
      <c r="L283" s="272" t="s">
        <v>405</v>
      </c>
      <c r="M283" s="285"/>
      <c r="N283" s="285"/>
      <c r="O283" s="285"/>
      <c r="P283" s="285"/>
      <c r="Q283" s="83">
        <v>12</v>
      </c>
      <c r="R283" s="83">
        <v>8</v>
      </c>
      <c r="S283" s="81">
        <v>20</v>
      </c>
      <c r="T283" s="242"/>
      <c r="U283" s="243"/>
      <c r="V283" s="243"/>
      <c r="W283" s="243"/>
      <c r="X283" s="243"/>
      <c r="Y283" s="298"/>
    </row>
    <row r="284" ht="55.5" customHeight="1" outlineLevel="1" spans="1:25">
      <c r="A284" s="272" t="s">
        <v>406</v>
      </c>
      <c r="B284" s="273">
        <v>0</v>
      </c>
      <c r="C284" s="273">
        <v>0</v>
      </c>
      <c r="D284" s="273">
        <v>0</v>
      </c>
      <c r="E284" s="271">
        <v>0</v>
      </c>
      <c r="F284" s="63"/>
      <c r="G284" s="64"/>
      <c r="H284" s="64"/>
      <c r="I284" s="64"/>
      <c r="J284" s="64"/>
      <c r="K284" s="67"/>
      <c r="L284" s="288"/>
      <c r="M284" s="190"/>
      <c r="N284" s="190"/>
      <c r="O284" s="190"/>
      <c r="P284" s="190"/>
      <c r="Q284" s="180"/>
      <c r="R284" s="180"/>
      <c r="S284" s="180"/>
      <c r="T284" s="180"/>
      <c r="U284" s="180"/>
      <c r="V284" s="180"/>
      <c r="W284" s="180"/>
      <c r="X284" s="180"/>
      <c r="Y284" s="196"/>
    </row>
    <row r="285" ht="47.45" customHeight="1" outlineLevel="1" spans="1:25">
      <c r="A285" s="272" t="s">
        <v>407</v>
      </c>
      <c r="B285" s="273">
        <v>0</v>
      </c>
      <c r="C285" s="273">
        <v>0</v>
      </c>
      <c r="D285" s="273">
        <v>0</v>
      </c>
      <c r="E285" s="271">
        <v>0</v>
      </c>
      <c r="F285" s="63"/>
      <c r="G285" s="64"/>
      <c r="H285" s="64"/>
      <c r="I285" s="64"/>
      <c r="J285" s="64"/>
      <c r="K285" s="67"/>
      <c r="L285" s="190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97"/>
    </row>
    <row r="286" ht="51" customHeight="1" outlineLevel="1" spans="1:25">
      <c r="A286" s="274"/>
      <c r="B286" s="275" t="s">
        <v>123</v>
      </c>
      <c r="C286" s="275" t="s">
        <v>124</v>
      </c>
      <c r="D286" s="276" t="s">
        <v>125</v>
      </c>
      <c r="E286" s="277" t="s">
        <v>15</v>
      </c>
      <c r="F286" s="277"/>
      <c r="G286" s="277"/>
      <c r="H286" s="277"/>
      <c r="I286" s="277"/>
      <c r="J286" s="277"/>
      <c r="K286" s="289"/>
      <c r="L286" s="190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97"/>
    </row>
    <row r="287" ht="15.75" customHeight="1" outlineLevel="1" spans="1:25">
      <c r="A287" s="215" t="s">
        <v>408</v>
      </c>
      <c r="B287" s="51">
        <v>0</v>
      </c>
      <c r="C287" s="51">
        <v>0</v>
      </c>
      <c r="D287" s="278">
        <v>0</v>
      </c>
      <c r="E287" s="211"/>
      <c r="F287" s="137"/>
      <c r="G287" s="137"/>
      <c r="H287" s="137"/>
      <c r="I287" s="137"/>
      <c r="J287" s="137"/>
      <c r="K287" s="177"/>
      <c r="L287" s="190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97"/>
    </row>
    <row r="288" ht="15.75" customHeight="1" outlineLevel="1" spans="1:25">
      <c r="A288" s="215" t="s">
        <v>409</v>
      </c>
      <c r="B288" s="51">
        <v>0</v>
      </c>
      <c r="C288" s="51">
        <v>0</v>
      </c>
      <c r="D288" s="278">
        <v>0</v>
      </c>
      <c r="E288" s="140"/>
      <c r="F288" s="16"/>
      <c r="G288" s="16"/>
      <c r="H288" s="16"/>
      <c r="I288" s="16"/>
      <c r="J288" s="16"/>
      <c r="K288" s="178"/>
      <c r="L288" s="190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97"/>
    </row>
    <row r="289" ht="15.75" customHeight="1" outlineLevel="1" spans="1:25">
      <c r="A289" s="215" t="s">
        <v>410</v>
      </c>
      <c r="B289" s="51">
        <v>0</v>
      </c>
      <c r="C289" s="51">
        <v>0</v>
      </c>
      <c r="D289" s="278">
        <v>0</v>
      </c>
      <c r="E289" s="140"/>
      <c r="F289" s="16"/>
      <c r="G289" s="16"/>
      <c r="H289" s="16"/>
      <c r="I289" s="16"/>
      <c r="J289" s="16"/>
      <c r="K289" s="178"/>
      <c r="L289" s="190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97"/>
    </row>
    <row r="290" ht="50.1" customHeight="1" outlineLevel="1" spans="1:25">
      <c r="A290" s="215" t="s">
        <v>411</v>
      </c>
      <c r="B290" s="51">
        <v>0</v>
      </c>
      <c r="C290" s="51">
        <v>0</v>
      </c>
      <c r="D290" s="278">
        <v>0</v>
      </c>
      <c r="E290" s="140"/>
      <c r="F290" s="16"/>
      <c r="G290" s="16"/>
      <c r="H290" s="16"/>
      <c r="I290" s="16"/>
      <c r="J290" s="16"/>
      <c r="K290" s="178"/>
      <c r="L290" s="190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97"/>
    </row>
    <row r="291" ht="15.75" customHeight="1" outlineLevel="1" spans="1:25">
      <c r="A291" s="279" t="s">
        <v>412</v>
      </c>
      <c r="B291" s="51">
        <v>0</v>
      </c>
      <c r="C291" s="51">
        <v>0</v>
      </c>
      <c r="D291" s="278">
        <v>0</v>
      </c>
      <c r="E291" s="140"/>
      <c r="F291" s="16"/>
      <c r="G291" s="16"/>
      <c r="H291" s="16"/>
      <c r="I291" s="16"/>
      <c r="J291" s="16"/>
      <c r="K291" s="178"/>
      <c r="L291" s="190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97"/>
    </row>
    <row r="292" ht="15.75" customHeight="1" outlineLevel="1" spans="1:25">
      <c r="A292" s="215" t="s">
        <v>413</v>
      </c>
      <c r="B292" s="51">
        <v>0</v>
      </c>
      <c r="C292" s="51">
        <v>0</v>
      </c>
      <c r="D292" s="278">
        <v>0</v>
      </c>
      <c r="E292" s="140"/>
      <c r="F292" s="16"/>
      <c r="G292" s="16"/>
      <c r="H292" s="16"/>
      <c r="I292" s="16"/>
      <c r="J292" s="16"/>
      <c r="K292" s="178"/>
      <c r="L292" s="190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97"/>
    </row>
    <row r="293" ht="15.75" customHeight="1" outlineLevel="1" spans="1:25">
      <c r="A293" s="215" t="s">
        <v>414</v>
      </c>
      <c r="B293" s="51">
        <v>0</v>
      </c>
      <c r="C293" s="51">
        <v>0</v>
      </c>
      <c r="D293" s="278">
        <v>0</v>
      </c>
      <c r="E293" s="141"/>
      <c r="F293" s="97"/>
      <c r="G293" s="97"/>
      <c r="H293" s="97"/>
      <c r="I293" s="97"/>
      <c r="J293" s="97"/>
      <c r="K293" s="181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98"/>
    </row>
    <row r="294" ht="36" customHeight="1" outlineLevel="1" spans="1: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5.75" customHeight="1" outlineLevel="1" spans="1: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5.75" customHeight="1" outlineLevel="1" spans="1: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5.75" customHeight="1" outlineLevel="1" spans="1: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39" customHeight="1" outlineLevel="1" spans="1: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5.75" customHeight="1" outlineLevel="1" spans="1: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5.75" customHeight="1" outlineLevel="1" spans="1: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5.75" customHeight="1" outlineLevel="1" spans="1: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5.75" customHeight="1" outlineLevel="1" spans="1: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31.5" customHeight="1" outlineLevel="1" spans="1: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34.5" customHeight="1" outlineLevel="1" spans="1: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5.75" customHeight="1" outlineLevel="1" spans="1: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5.75" customHeight="1" outlineLevel="1" spans="1: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5.75" customHeight="1" spans="1: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5.75" customHeight="1" spans="1: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5.75" customHeight="1" spans="1: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5.75" customHeight="1" spans="1: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5.75" customHeight="1" spans="1: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5.75" customHeight="1" spans="1: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5.75" customHeight="1" spans="1: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5.75" customHeight="1" spans="1: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5.75" customHeight="1" spans="1: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5.75" customHeight="1" spans="1: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5.75" customHeight="1" spans="1: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5.75" customHeight="1" spans="1: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5.75" customHeight="1" spans="1: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5.75" customHeight="1" spans="1: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5.75" customHeight="1" spans="1: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5.75" customHeight="1" spans="1: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5.75" customHeight="1" spans="1: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5.75" customHeight="1" spans="1: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5.75" customHeight="1" spans="1: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5.75" customHeight="1" spans="1: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5.75" customHeight="1" spans="1: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5.75" customHeight="1" spans="1: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5.75" customHeight="1" spans="1: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5.75" customHeight="1" spans="1: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5.75" customHeight="1" spans="1: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5.75" customHeight="1" spans="1: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5.75" customHeight="1" spans="1: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5.75" customHeight="1" spans="1: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5.75" customHeight="1" spans="1: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5.75" customHeight="1" spans="1: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5.75" customHeight="1" spans="1: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5.75" customHeight="1" spans="1: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5.75" customHeight="1" spans="1: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5.75" customHeight="1" spans="1: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5.75" customHeight="1" spans="1: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5.75" customHeight="1" spans="1: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5.75" customHeight="1" spans="1: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5.75" customHeight="1" spans="1: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5.75" customHeight="1" spans="1: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5.75" customHeight="1" spans="1: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5.75" customHeight="1" spans="1: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5.75" customHeight="1" spans="1: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5.75" customHeight="1" spans="1: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5.75" customHeight="1" spans="1: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5.75" customHeight="1" spans="1: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5.75" customHeight="1" spans="1: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5.75" customHeight="1" spans="1: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5.75" customHeight="1" spans="1: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5.75" customHeight="1" spans="1: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5.75" customHeight="1" spans="1: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5.75" customHeight="1" spans="1: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5.75" customHeight="1" spans="1: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5.75" customHeight="1" spans="1: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5.75" customHeight="1" spans="1: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5.75" customHeight="1" spans="1: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5.75" customHeight="1" spans="1: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5.75" customHeight="1" spans="1: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5.75" customHeight="1" spans="1: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5.75" customHeight="1" spans="1: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5.75" customHeight="1" spans="1: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5.75" customHeight="1" spans="1: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5.75" customHeight="1" spans="1: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 spans="1: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5.75" customHeight="1" spans="1: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5.75" customHeight="1" spans="1: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5.75" customHeight="1" spans="1: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5.75" customHeight="1" spans="1: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5.75" customHeight="1" spans="1: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5.75" customHeight="1" spans="1: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5.75" customHeight="1" spans="1: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5.75" customHeight="1" spans="1: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5.75" customHeight="1" spans="1: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5.75" customHeight="1" spans="1: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5.75" customHeight="1" spans="1: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5.75" customHeight="1" spans="1: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5.75" customHeight="1" spans="1: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5.75" customHeight="1" spans="1: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5.75" customHeight="1" spans="1: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5.75" customHeight="1" spans="1: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5.75" customHeight="1" spans="1: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5.75" customHeight="1" spans="1: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5.75" customHeight="1" spans="1: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5.75" customHeight="1" spans="1: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5.75" customHeight="1" spans="1: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5.75" customHeight="1" spans="1: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5.75" customHeight="1" spans="1: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5.75" customHeight="1" spans="1: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5.75" customHeight="1" spans="1: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5.75" customHeight="1" spans="1: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5.75" customHeight="1" spans="1: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5.75" customHeight="1" spans="1: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5.75" customHeight="1" spans="1: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5.75" customHeight="1" spans="1: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5.75" customHeight="1" spans="1: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5.75" customHeight="1" spans="1: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5.75" customHeight="1" spans="1: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5.75" customHeight="1" spans="1: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5.75" customHeight="1" spans="1: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5.75" customHeight="1" spans="1: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5.75" customHeight="1" spans="1: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5.75" customHeight="1" spans="1: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5.75" customHeight="1" spans="1: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5.75" customHeight="1" spans="1: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5.75" customHeight="1" spans="1: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5.75" customHeight="1" spans="1: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5.75" customHeight="1" spans="1: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5.75" customHeight="1" spans="1: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5.75" customHeight="1" spans="1: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5.75" customHeight="1" spans="1: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5.75" customHeight="1" spans="1: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5.75" customHeight="1" spans="1: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5.75" customHeight="1" spans="1: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5.75" customHeight="1" spans="1: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5.75" customHeight="1" spans="1: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5.75" customHeight="1" spans="1: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5.75" customHeight="1" spans="1: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5.75" customHeight="1" spans="1: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5.75" customHeight="1" spans="1: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5.75" customHeight="1" spans="1: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5.75" customHeight="1" spans="1: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5.75" customHeight="1" spans="1: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5.75" customHeight="1" spans="1: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5.75" customHeight="1" spans="1: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5.75" customHeight="1" spans="1: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5.75" customHeight="1" spans="1: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5.75" customHeight="1" spans="1: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5.75" customHeight="1" spans="1: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5.75" customHeight="1" spans="1: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5.75" customHeight="1" spans="1: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5.75" customHeight="1" spans="1: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5.75" customHeight="1" spans="1: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5.75" customHeight="1" spans="1: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5.75" customHeight="1" spans="1: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5.75" customHeight="1" spans="1: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5.75" customHeight="1" spans="1: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5.75" customHeight="1" spans="1: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5.75" customHeight="1" spans="1: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5.75" customHeight="1" spans="1: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5.75" customHeight="1" spans="1: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5.75" customHeight="1" spans="1: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5.75" customHeight="1" spans="1: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5.75" customHeight="1" spans="1: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5.75" customHeight="1" spans="1: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5.75" customHeight="1" spans="1: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5.75" customHeight="1" spans="1: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5.75" customHeight="1" spans="1: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5.75" customHeight="1" spans="1: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5.75" customHeight="1" spans="1: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5.75" customHeight="1" spans="1: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5.75" customHeight="1" spans="1: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5.75" customHeight="1" spans="1: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5.75" customHeight="1" spans="1: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5.75" customHeight="1" spans="1: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5.75" customHeight="1" spans="1: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5.75" customHeight="1" spans="1: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5.75" customHeight="1" spans="1: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5.75" customHeight="1" spans="1: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5.75" customHeight="1" spans="1: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5.75" customHeight="1" spans="1: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5.75" customHeight="1" spans="1: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5.75" customHeight="1" spans="1: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5.75" customHeight="1" spans="1: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5.75" customHeight="1" spans="1: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5.75" customHeight="1" spans="1: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5.75" customHeight="1" spans="1: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5.75" customHeight="1" spans="1: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5.75" customHeight="1" spans="1: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5.75" customHeight="1" spans="1: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5.75" customHeight="1" spans="1: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5.75" customHeight="1" spans="1: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5.75" customHeight="1" spans="1: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5.75" customHeight="1" spans="1: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5.75" customHeight="1" spans="1: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5.75" customHeight="1" spans="1: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5.75" customHeight="1" spans="1: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5.75" customHeight="1" spans="1: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5.75" customHeight="1" spans="1: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5.75" customHeight="1" spans="1: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5.75" customHeight="1" spans="1: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5.75" customHeight="1" spans="1: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5.75" customHeight="1" spans="1: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5.75" customHeight="1" spans="1: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5.75" customHeight="1" spans="1: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5.75" customHeight="1" spans="1: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5.75" customHeight="1" spans="1: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5.75" customHeight="1" spans="1: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5.75" customHeight="1" spans="1: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ref="G43:K45">
    <sortCondition ref="G43"/>
  </sortState>
  <mergeCells count="747">
    <mergeCell ref="B1:E1"/>
    <mergeCell ref="F1:G1"/>
    <mergeCell ref="B2:E2"/>
    <mergeCell ref="F2:I2"/>
    <mergeCell ref="F3:I3"/>
    <mergeCell ref="B4:E4"/>
    <mergeCell ref="F4:I4"/>
    <mergeCell ref="B5:E5"/>
    <mergeCell ref="F5:I5"/>
    <mergeCell ref="F6:I6"/>
    <mergeCell ref="A8:Y8"/>
    <mergeCell ref="E9:P9"/>
    <mergeCell ref="E10:H10"/>
    <mergeCell ref="I10:L10"/>
    <mergeCell ref="M10:P10"/>
    <mergeCell ref="A11:D11"/>
    <mergeCell ref="E11:H11"/>
    <mergeCell ref="I11:L11"/>
    <mergeCell ref="M11:P11"/>
    <mergeCell ref="Q11:T11"/>
    <mergeCell ref="U11:Y11"/>
    <mergeCell ref="F12:M12"/>
    <mergeCell ref="F13:I13"/>
    <mergeCell ref="J13:M13"/>
    <mergeCell ref="B14:D14"/>
    <mergeCell ref="F14:H14"/>
    <mergeCell ref="J14:L14"/>
    <mergeCell ref="N14:P14"/>
    <mergeCell ref="R14:T14"/>
    <mergeCell ref="V14:X14"/>
    <mergeCell ref="A35:Y35"/>
    <mergeCell ref="B36:D36"/>
    <mergeCell ref="Q36:S36"/>
    <mergeCell ref="A38:Y38"/>
    <mergeCell ref="E39:F39"/>
    <mergeCell ref="G39:K39"/>
    <mergeCell ref="L39:P39"/>
    <mergeCell ref="T39:U39"/>
    <mergeCell ref="V39:Y39"/>
    <mergeCell ref="E40:F40"/>
    <mergeCell ref="G40:K40"/>
    <mergeCell ref="L40:P40"/>
    <mergeCell ref="T40:U40"/>
    <mergeCell ref="V40:Y40"/>
    <mergeCell ref="E41:F41"/>
    <mergeCell ref="G41:K41"/>
    <mergeCell ref="L41:P41"/>
    <mergeCell ref="T41:U41"/>
    <mergeCell ref="V41:Y41"/>
    <mergeCell ref="E42:F42"/>
    <mergeCell ref="G42:K42"/>
    <mergeCell ref="L42:P42"/>
    <mergeCell ref="T42:U42"/>
    <mergeCell ref="V42:Y42"/>
    <mergeCell ref="E43:F43"/>
    <mergeCell ref="G43:H43"/>
    <mergeCell ref="L43:P43"/>
    <mergeCell ref="T43:U43"/>
    <mergeCell ref="V43:Y43"/>
    <mergeCell ref="E44:F44"/>
    <mergeCell ref="G44:H44"/>
    <mergeCell ref="L44:P44"/>
    <mergeCell ref="T44:U44"/>
    <mergeCell ref="V44:Y44"/>
    <mergeCell ref="E45:F45"/>
    <mergeCell ref="G45:H45"/>
    <mergeCell ref="L45:P45"/>
    <mergeCell ref="T45:U45"/>
    <mergeCell ref="V45:Y45"/>
    <mergeCell ref="E46:F46"/>
    <mergeCell ref="G46:K46"/>
    <mergeCell ref="L46:P46"/>
    <mergeCell ref="T46:U46"/>
    <mergeCell ref="V46:Y46"/>
    <mergeCell ref="E47:F47"/>
    <mergeCell ref="G47:K47"/>
    <mergeCell ref="L47:P47"/>
    <mergeCell ref="T47:U47"/>
    <mergeCell ref="V47:Y47"/>
    <mergeCell ref="E48:F48"/>
    <mergeCell ref="G48:K48"/>
    <mergeCell ref="L48:P48"/>
    <mergeCell ref="T48:U48"/>
    <mergeCell ref="V48:Y48"/>
    <mergeCell ref="E49:F49"/>
    <mergeCell ref="G49:K49"/>
    <mergeCell ref="L49:P49"/>
    <mergeCell ref="T49:U49"/>
    <mergeCell ref="V49:Y49"/>
    <mergeCell ref="E50:F50"/>
    <mergeCell ref="G50:K50"/>
    <mergeCell ref="L50:Y50"/>
    <mergeCell ref="B51:D51"/>
    <mergeCell ref="Q51:S51"/>
    <mergeCell ref="A53:Y53"/>
    <mergeCell ref="E54:F54"/>
    <mergeCell ref="G54:K54"/>
    <mergeCell ref="L54:P54"/>
    <mergeCell ref="T54:U54"/>
    <mergeCell ref="E55:F55"/>
    <mergeCell ref="G55:K55"/>
    <mergeCell ref="L55:P55"/>
    <mergeCell ref="T55:U55"/>
    <mergeCell ref="E56:F56"/>
    <mergeCell ref="G56:K56"/>
    <mergeCell ref="L56:P56"/>
    <mergeCell ref="T56:U56"/>
    <mergeCell ref="E57:F57"/>
    <mergeCell ref="G57:K57"/>
    <mergeCell ref="L57:P57"/>
    <mergeCell ref="T57:U57"/>
    <mergeCell ref="E58:F58"/>
    <mergeCell ref="G58:K58"/>
    <mergeCell ref="L58:P58"/>
    <mergeCell ref="T58:U58"/>
    <mergeCell ref="E59:F59"/>
    <mergeCell ref="L59:P59"/>
    <mergeCell ref="T59:U59"/>
    <mergeCell ref="E60:F60"/>
    <mergeCell ref="L60:P60"/>
    <mergeCell ref="T60:U60"/>
    <mergeCell ref="E61:F61"/>
    <mergeCell ref="L61:P61"/>
    <mergeCell ref="T61:U61"/>
    <mergeCell ref="E62:F62"/>
    <mergeCell ref="L62:P62"/>
    <mergeCell ref="T62:U62"/>
    <mergeCell ref="A63:F63"/>
    <mergeCell ref="G63:K63"/>
    <mergeCell ref="L63:P63"/>
    <mergeCell ref="T63:U63"/>
    <mergeCell ref="V63:Y63"/>
    <mergeCell ref="B64:D64"/>
    <mergeCell ref="Q64:S64"/>
    <mergeCell ref="A66:Y66"/>
    <mergeCell ref="E67:F67"/>
    <mergeCell ref="G67:K67"/>
    <mergeCell ref="L67:P67"/>
    <mergeCell ref="T67:U67"/>
    <mergeCell ref="V67:Y67"/>
    <mergeCell ref="E68:F68"/>
    <mergeCell ref="L68:P68"/>
    <mergeCell ref="T68:U68"/>
    <mergeCell ref="V68:Y68"/>
    <mergeCell ref="E69:F69"/>
    <mergeCell ref="E70:F70"/>
    <mergeCell ref="E71:F71"/>
    <mergeCell ref="E72:F72"/>
    <mergeCell ref="E73:F73"/>
    <mergeCell ref="E74:F74"/>
    <mergeCell ref="A75:Y75"/>
    <mergeCell ref="B76:D76"/>
    <mergeCell ref="Q76:S76"/>
    <mergeCell ref="A78:Y78"/>
    <mergeCell ref="A79:Y79"/>
    <mergeCell ref="E80:K80"/>
    <mergeCell ref="L80:P80"/>
    <mergeCell ref="T80:Y80"/>
    <mergeCell ref="E81:K81"/>
    <mergeCell ref="L81:P81"/>
    <mergeCell ref="T81:Y81"/>
    <mergeCell ref="E82:K82"/>
    <mergeCell ref="L82:Y82"/>
    <mergeCell ref="A83:Y83"/>
    <mergeCell ref="E84:K84"/>
    <mergeCell ref="L84:P84"/>
    <mergeCell ref="T84:Y84"/>
    <mergeCell ref="E85:K85"/>
    <mergeCell ref="L85:P85"/>
    <mergeCell ref="T85:Y85"/>
    <mergeCell ref="E86:K86"/>
    <mergeCell ref="L86:P86"/>
    <mergeCell ref="T86:Y86"/>
    <mergeCell ref="E87:K87"/>
    <mergeCell ref="L87:P87"/>
    <mergeCell ref="T87:Y87"/>
    <mergeCell ref="E88:K88"/>
    <mergeCell ref="L88:P88"/>
    <mergeCell ref="T88:Y88"/>
    <mergeCell ref="E89:K89"/>
    <mergeCell ref="L89:P89"/>
    <mergeCell ref="T89:Y89"/>
    <mergeCell ref="E90:K90"/>
    <mergeCell ref="L90:P90"/>
    <mergeCell ref="T90:Y90"/>
    <mergeCell ref="A91:Y91"/>
    <mergeCell ref="E92:K92"/>
    <mergeCell ref="L92:P92"/>
    <mergeCell ref="T92:Y92"/>
    <mergeCell ref="E93:K93"/>
    <mergeCell ref="L93:P93"/>
    <mergeCell ref="T93:Y93"/>
    <mergeCell ref="E94:K94"/>
    <mergeCell ref="L94:P94"/>
    <mergeCell ref="T94:Y94"/>
    <mergeCell ref="E95:K95"/>
    <mergeCell ref="L95:P95"/>
    <mergeCell ref="T95:Y95"/>
    <mergeCell ref="E96:K96"/>
    <mergeCell ref="L96:P96"/>
    <mergeCell ref="T96:Y96"/>
    <mergeCell ref="E97:K97"/>
    <mergeCell ref="L97:P97"/>
    <mergeCell ref="T97:Y97"/>
    <mergeCell ref="E98:K98"/>
    <mergeCell ref="L98:P98"/>
    <mergeCell ref="T98:Y98"/>
    <mergeCell ref="B99:D99"/>
    <mergeCell ref="Q99:S99"/>
    <mergeCell ref="A101:Y101"/>
    <mergeCell ref="E102:K102"/>
    <mergeCell ref="L102:P102"/>
    <mergeCell ref="T102:Y102"/>
    <mergeCell ref="E103:K103"/>
    <mergeCell ref="L103:P103"/>
    <mergeCell ref="T103:Y103"/>
    <mergeCell ref="E104:K104"/>
    <mergeCell ref="L104:P104"/>
    <mergeCell ref="T104:Y104"/>
    <mergeCell ref="B105:D105"/>
    <mergeCell ref="Q105:S105"/>
    <mergeCell ref="A107:Y107"/>
    <mergeCell ref="E108:K108"/>
    <mergeCell ref="L108:P108"/>
    <mergeCell ref="T108:Y108"/>
    <mergeCell ref="E109:K109"/>
    <mergeCell ref="L109:P109"/>
    <mergeCell ref="T109:Y109"/>
    <mergeCell ref="E110:K110"/>
    <mergeCell ref="L110:P110"/>
    <mergeCell ref="T110:Y110"/>
    <mergeCell ref="E111:K111"/>
    <mergeCell ref="L111:P111"/>
    <mergeCell ref="T111:Y111"/>
    <mergeCell ref="E112:K112"/>
    <mergeCell ref="E113:K113"/>
    <mergeCell ref="B114:D114"/>
    <mergeCell ref="Q114:S114"/>
    <mergeCell ref="E116:K116"/>
    <mergeCell ref="L116:P116"/>
    <mergeCell ref="T116:Y116"/>
    <mergeCell ref="E117:K117"/>
    <mergeCell ref="L117:P117"/>
    <mergeCell ref="T117:Y117"/>
    <mergeCell ref="E118:K118"/>
    <mergeCell ref="L118:P118"/>
    <mergeCell ref="T118:Y118"/>
    <mergeCell ref="E119:K119"/>
    <mergeCell ref="L119:P119"/>
    <mergeCell ref="T119:Y119"/>
    <mergeCell ref="E120:K120"/>
    <mergeCell ref="L120:P120"/>
    <mergeCell ref="T120:Y120"/>
    <mergeCell ref="E121:K121"/>
    <mergeCell ref="L121:P121"/>
    <mergeCell ref="T121:Y121"/>
    <mergeCell ref="E122:K122"/>
    <mergeCell ref="L122:Y122"/>
    <mergeCell ref="B123:D123"/>
    <mergeCell ref="Q123:S123"/>
    <mergeCell ref="A125:Y125"/>
    <mergeCell ref="E126:K126"/>
    <mergeCell ref="L126:P126"/>
    <mergeCell ref="T126:Y126"/>
    <mergeCell ref="E127:K127"/>
    <mergeCell ref="L127:P127"/>
    <mergeCell ref="T127:Y127"/>
    <mergeCell ref="E128:K128"/>
    <mergeCell ref="L128:P128"/>
    <mergeCell ref="T128:Y128"/>
    <mergeCell ref="E129:K129"/>
    <mergeCell ref="L129:P129"/>
    <mergeCell ref="T129:Y129"/>
    <mergeCell ref="E130:K130"/>
    <mergeCell ref="L130:Y130"/>
    <mergeCell ref="A131:Y131"/>
    <mergeCell ref="B132:C132"/>
    <mergeCell ref="P132:Q132"/>
    <mergeCell ref="A134:Y134"/>
    <mergeCell ref="E135:K135"/>
    <mergeCell ref="L135:O135"/>
    <mergeCell ref="S135:Y135"/>
    <mergeCell ref="E136:K136"/>
    <mergeCell ref="L136:O136"/>
    <mergeCell ref="S136:Y136"/>
    <mergeCell ref="E137:K137"/>
    <mergeCell ref="L137:O137"/>
    <mergeCell ref="S137:Y137"/>
    <mergeCell ref="E138:K138"/>
    <mergeCell ref="L138:O138"/>
    <mergeCell ref="S138:Y138"/>
    <mergeCell ref="E139:K139"/>
    <mergeCell ref="L139:O139"/>
    <mergeCell ref="S139:Y139"/>
    <mergeCell ref="E140:K140"/>
    <mergeCell ref="L140:O140"/>
    <mergeCell ref="S140:Y140"/>
    <mergeCell ref="E141:K141"/>
    <mergeCell ref="L141:O141"/>
    <mergeCell ref="S141:Y141"/>
    <mergeCell ref="E142:K142"/>
    <mergeCell ref="L142:O142"/>
    <mergeCell ref="S142:Y142"/>
    <mergeCell ref="E143:K143"/>
    <mergeCell ref="L143:O143"/>
    <mergeCell ref="S143:Y143"/>
    <mergeCell ref="E144:K144"/>
    <mergeCell ref="L144:O144"/>
    <mergeCell ref="S144:Y144"/>
    <mergeCell ref="E145:K145"/>
    <mergeCell ref="L145:O145"/>
    <mergeCell ref="S145:Y145"/>
    <mergeCell ref="E146:K146"/>
    <mergeCell ref="L146:O146"/>
    <mergeCell ref="S146:Y146"/>
    <mergeCell ref="E147:K147"/>
    <mergeCell ref="L147:O147"/>
    <mergeCell ref="S147:Y147"/>
    <mergeCell ref="E148:K148"/>
    <mergeCell ref="L148:O148"/>
    <mergeCell ref="S148:Y148"/>
    <mergeCell ref="E149:K149"/>
    <mergeCell ref="L149:O149"/>
    <mergeCell ref="S149:Y149"/>
    <mergeCell ref="E150:K150"/>
    <mergeCell ref="L150:Y150"/>
    <mergeCell ref="B151:D151"/>
    <mergeCell ref="P151:R151"/>
    <mergeCell ref="F153:K153"/>
    <mergeCell ref="L153:O153"/>
    <mergeCell ref="T153:Y153"/>
    <mergeCell ref="F154:K154"/>
    <mergeCell ref="L154:O154"/>
    <mergeCell ref="T154:Y154"/>
    <mergeCell ref="F155:K155"/>
    <mergeCell ref="L155:O155"/>
    <mergeCell ref="T155:Y155"/>
    <mergeCell ref="A156:Y156"/>
    <mergeCell ref="B157:C157"/>
    <mergeCell ref="P157:Q157"/>
    <mergeCell ref="A159:Y159"/>
    <mergeCell ref="E160:K160"/>
    <mergeCell ref="L160:O160"/>
    <mergeCell ref="S160:Y160"/>
    <mergeCell ref="L161:O161"/>
    <mergeCell ref="L162:O162"/>
    <mergeCell ref="L163:O163"/>
    <mergeCell ref="L164:O164"/>
    <mergeCell ref="L165:O165"/>
    <mergeCell ref="L166:O166"/>
    <mergeCell ref="A167:K167"/>
    <mergeCell ref="L167:Y167"/>
    <mergeCell ref="E168:K168"/>
    <mergeCell ref="L168:O168"/>
    <mergeCell ref="S168:Y168"/>
    <mergeCell ref="E169:K169"/>
    <mergeCell ref="L169:O169"/>
    <mergeCell ref="S169:Y169"/>
    <mergeCell ref="E170:K170"/>
    <mergeCell ref="L170:O170"/>
    <mergeCell ref="S170:Y170"/>
    <mergeCell ref="E171:K171"/>
    <mergeCell ref="L171:O171"/>
    <mergeCell ref="S171:Y171"/>
    <mergeCell ref="E172:K172"/>
    <mergeCell ref="L172:O172"/>
    <mergeCell ref="S172:Y172"/>
    <mergeCell ref="E173:K173"/>
    <mergeCell ref="L173:O173"/>
    <mergeCell ref="S173:Y173"/>
    <mergeCell ref="E174:K174"/>
    <mergeCell ref="L174:O174"/>
    <mergeCell ref="S174:Y174"/>
    <mergeCell ref="E175:K175"/>
    <mergeCell ref="L175:O175"/>
    <mergeCell ref="S175:Y175"/>
    <mergeCell ref="B176:C176"/>
    <mergeCell ref="P176:Q176"/>
    <mergeCell ref="A178:K178"/>
    <mergeCell ref="L178:Y178"/>
    <mergeCell ref="E179:K179"/>
    <mergeCell ref="L179:O179"/>
    <mergeCell ref="S179:Y179"/>
    <mergeCell ref="E180:K180"/>
    <mergeCell ref="L180:O180"/>
    <mergeCell ref="S180:Y180"/>
    <mergeCell ref="E181:K181"/>
    <mergeCell ref="L181:O181"/>
    <mergeCell ref="S181:Y181"/>
    <mergeCell ref="A182:K182"/>
    <mergeCell ref="L182:O182"/>
    <mergeCell ref="S182:Y182"/>
    <mergeCell ref="A183:K183"/>
    <mergeCell ref="L183:Y183"/>
    <mergeCell ref="E184:K184"/>
    <mergeCell ref="L184:O184"/>
    <mergeCell ref="S184:Y184"/>
    <mergeCell ref="E185:K185"/>
    <mergeCell ref="L185:O185"/>
    <mergeCell ref="S185:Y185"/>
    <mergeCell ref="E186:K186"/>
    <mergeCell ref="L186:O186"/>
    <mergeCell ref="S186:Y186"/>
    <mergeCell ref="E187:K187"/>
    <mergeCell ref="L187:O187"/>
    <mergeCell ref="S187:Y187"/>
    <mergeCell ref="E188:K188"/>
    <mergeCell ref="L188:O188"/>
    <mergeCell ref="S188:Y188"/>
    <mergeCell ref="E189:K189"/>
    <mergeCell ref="L189:O189"/>
    <mergeCell ref="S189:Y189"/>
    <mergeCell ref="E190:K190"/>
    <mergeCell ref="L190:O190"/>
    <mergeCell ref="S190:Y190"/>
    <mergeCell ref="E191:K191"/>
    <mergeCell ref="L191:O191"/>
    <mergeCell ref="S191:Y191"/>
    <mergeCell ref="E192:K192"/>
    <mergeCell ref="L192:O192"/>
    <mergeCell ref="S192:Y192"/>
    <mergeCell ref="E193:K193"/>
    <mergeCell ref="L193:O193"/>
    <mergeCell ref="S193:Y193"/>
    <mergeCell ref="E194:K194"/>
    <mergeCell ref="L194:O194"/>
    <mergeCell ref="S194:Y194"/>
    <mergeCell ref="E195:K195"/>
    <mergeCell ref="L195:O195"/>
    <mergeCell ref="S195:Y195"/>
    <mergeCell ref="E196:K196"/>
    <mergeCell ref="L196:O196"/>
    <mergeCell ref="S196:Y196"/>
    <mergeCell ref="A197:K197"/>
    <mergeCell ref="L197:O197"/>
    <mergeCell ref="S197:Y197"/>
    <mergeCell ref="B198:I198"/>
    <mergeCell ref="B199:C199"/>
    <mergeCell ref="D199:E199"/>
    <mergeCell ref="F199:G199"/>
    <mergeCell ref="H199:I199"/>
    <mergeCell ref="A201:Y201"/>
    <mergeCell ref="J202:K202"/>
    <mergeCell ref="L202:Y202"/>
    <mergeCell ref="A203:Y203"/>
    <mergeCell ref="A206:K206"/>
    <mergeCell ref="L206:V206"/>
    <mergeCell ref="B207:C207"/>
    <mergeCell ref="L207:O207"/>
    <mergeCell ref="P207:Q207"/>
    <mergeCell ref="B208:C208"/>
    <mergeCell ref="L208:O208"/>
    <mergeCell ref="P208:Q208"/>
    <mergeCell ref="B209:C209"/>
    <mergeCell ref="L209:O209"/>
    <mergeCell ref="P209:Q209"/>
    <mergeCell ref="B210:C210"/>
    <mergeCell ref="L210:O210"/>
    <mergeCell ref="P210:Q210"/>
    <mergeCell ref="B211:C211"/>
    <mergeCell ref="D211:K211"/>
    <mergeCell ref="L211:O211"/>
    <mergeCell ref="P211:Q211"/>
    <mergeCell ref="R211:Y211"/>
    <mergeCell ref="A212:Y212"/>
    <mergeCell ref="B213:D213"/>
    <mergeCell ref="Q213:S213"/>
    <mergeCell ref="A215:Y215"/>
    <mergeCell ref="E216:K216"/>
    <mergeCell ref="L216:P216"/>
    <mergeCell ref="T216:Y216"/>
    <mergeCell ref="E217:K217"/>
    <mergeCell ref="L217:P217"/>
    <mergeCell ref="T217:Y217"/>
    <mergeCell ref="E218:K218"/>
    <mergeCell ref="L218:P218"/>
    <mergeCell ref="T218:Y218"/>
    <mergeCell ref="E219:K219"/>
    <mergeCell ref="L219:P219"/>
    <mergeCell ref="T219:Y219"/>
    <mergeCell ref="A220:Y220"/>
    <mergeCell ref="E221:K221"/>
    <mergeCell ref="L221:P221"/>
    <mergeCell ref="T221:Y221"/>
    <mergeCell ref="E222:K222"/>
    <mergeCell ref="L222:P222"/>
    <mergeCell ref="T222:Y222"/>
    <mergeCell ref="E223:K223"/>
    <mergeCell ref="L223:P223"/>
    <mergeCell ref="T223:Y223"/>
    <mergeCell ref="E224:K224"/>
    <mergeCell ref="L224:P224"/>
    <mergeCell ref="T224:Y224"/>
    <mergeCell ref="E225:K225"/>
    <mergeCell ref="L225:P225"/>
    <mergeCell ref="T225:Y225"/>
    <mergeCell ref="E226:K226"/>
    <mergeCell ref="L226:P226"/>
    <mergeCell ref="T226:Y226"/>
    <mergeCell ref="E227:K227"/>
    <mergeCell ref="L227:P227"/>
    <mergeCell ref="T227:Y227"/>
    <mergeCell ref="E228:K228"/>
    <mergeCell ref="L228:P228"/>
    <mergeCell ref="T228:Y228"/>
    <mergeCell ref="E229:K229"/>
    <mergeCell ref="L229:P229"/>
    <mergeCell ref="T229:Y229"/>
    <mergeCell ref="E230:K230"/>
    <mergeCell ref="L230:P230"/>
    <mergeCell ref="T230:Y230"/>
    <mergeCell ref="E231:K231"/>
    <mergeCell ref="L231:P231"/>
    <mergeCell ref="T231:Y231"/>
    <mergeCell ref="E232:K232"/>
    <mergeCell ref="L232:P232"/>
    <mergeCell ref="T232:Y232"/>
    <mergeCell ref="E233:K233"/>
    <mergeCell ref="E234:K234"/>
    <mergeCell ref="E235:K235"/>
    <mergeCell ref="B236:D236"/>
    <mergeCell ref="Q236:S236"/>
    <mergeCell ref="A238:Y238"/>
    <mergeCell ref="L239:P239"/>
    <mergeCell ref="T239:Y239"/>
    <mergeCell ref="L240:P240"/>
    <mergeCell ref="T240:Y240"/>
    <mergeCell ref="L241:P241"/>
    <mergeCell ref="T241:Y241"/>
    <mergeCell ref="L242:P242"/>
    <mergeCell ref="T242:Y242"/>
    <mergeCell ref="L243:P243"/>
    <mergeCell ref="T243:Y243"/>
    <mergeCell ref="L244:P244"/>
    <mergeCell ref="T244:Y244"/>
    <mergeCell ref="L245:P245"/>
    <mergeCell ref="T245:Y245"/>
    <mergeCell ref="L246:P246"/>
    <mergeCell ref="T246:Y246"/>
    <mergeCell ref="L247:P247"/>
    <mergeCell ref="T247:Y247"/>
    <mergeCell ref="L248:P248"/>
    <mergeCell ref="T248:Y248"/>
    <mergeCell ref="E249:K249"/>
    <mergeCell ref="L249:P249"/>
    <mergeCell ref="T249:Y249"/>
    <mergeCell ref="E250:K250"/>
    <mergeCell ref="L250:P250"/>
    <mergeCell ref="T250:Y250"/>
    <mergeCell ref="E251:K251"/>
    <mergeCell ref="L251:P251"/>
    <mergeCell ref="T251:Y251"/>
    <mergeCell ref="E252:K252"/>
    <mergeCell ref="L252:P252"/>
    <mergeCell ref="T252:Y252"/>
    <mergeCell ref="E253:K253"/>
    <mergeCell ref="L253:P253"/>
    <mergeCell ref="T253:Y253"/>
    <mergeCell ref="E254:K254"/>
    <mergeCell ref="L254:P254"/>
    <mergeCell ref="T254:Y254"/>
    <mergeCell ref="E255:K255"/>
    <mergeCell ref="L255:P255"/>
    <mergeCell ref="T255:Y255"/>
    <mergeCell ref="E256:K256"/>
    <mergeCell ref="L256:P256"/>
    <mergeCell ref="T256:Y256"/>
    <mergeCell ref="E257:K257"/>
    <mergeCell ref="L257:P257"/>
    <mergeCell ref="T257:Y257"/>
    <mergeCell ref="E258:K258"/>
    <mergeCell ref="L258:P258"/>
    <mergeCell ref="T258:Y258"/>
    <mergeCell ref="B259:D259"/>
    <mergeCell ref="Q259:S259"/>
    <mergeCell ref="A261:Y261"/>
    <mergeCell ref="E262:K262"/>
    <mergeCell ref="L262:P262"/>
    <mergeCell ref="T262:Y262"/>
    <mergeCell ref="E263:K263"/>
    <mergeCell ref="L263:P263"/>
    <mergeCell ref="T263:Y263"/>
    <mergeCell ref="E264:K264"/>
    <mergeCell ref="L264:P264"/>
    <mergeCell ref="T264:Y264"/>
    <mergeCell ref="B265:D265"/>
    <mergeCell ref="Q265:S265"/>
    <mergeCell ref="E268:K268"/>
    <mergeCell ref="L268:P268"/>
    <mergeCell ref="T268:Y268"/>
    <mergeCell ref="E269:K269"/>
    <mergeCell ref="L269:P269"/>
    <mergeCell ref="T269:Y269"/>
    <mergeCell ref="E270:K270"/>
    <mergeCell ref="L270:P270"/>
    <mergeCell ref="T270:Y270"/>
    <mergeCell ref="E271:K271"/>
    <mergeCell ref="L271:P271"/>
    <mergeCell ref="T271:Y271"/>
    <mergeCell ref="E273:K273"/>
    <mergeCell ref="L273:P273"/>
    <mergeCell ref="T273:Y273"/>
    <mergeCell ref="E274:K274"/>
    <mergeCell ref="L274:P274"/>
    <mergeCell ref="T274:Y274"/>
    <mergeCell ref="B276:E276"/>
    <mergeCell ref="Q276:S276"/>
    <mergeCell ref="A278:K278"/>
    <mergeCell ref="L278:Y278"/>
    <mergeCell ref="F279:K279"/>
    <mergeCell ref="L279:P279"/>
    <mergeCell ref="F280:K280"/>
    <mergeCell ref="L280:P280"/>
    <mergeCell ref="F281:K281"/>
    <mergeCell ref="L281:P281"/>
    <mergeCell ref="F282:K282"/>
    <mergeCell ref="L282:P282"/>
    <mergeCell ref="F283:K283"/>
    <mergeCell ref="L283:P283"/>
    <mergeCell ref="F284:K284"/>
    <mergeCell ref="F285:K285"/>
    <mergeCell ref="E286:K286"/>
    <mergeCell ref="A1:A7"/>
    <mergeCell ref="A12:A15"/>
    <mergeCell ref="A36:A37"/>
    <mergeCell ref="A51:A52"/>
    <mergeCell ref="A64:A65"/>
    <mergeCell ref="A76:A77"/>
    <mergeCell ref="A99:A100"/>
    <mergeCell ref="A105:A106"/>
    <mergeCell ref="A114:A115"/>
    <mergeCell ref="A123:A124"/>
    <mergeCell ref="A132:A133"/>
    <mergeCell ref="A151:A152"/>
    <mergeCell ref="A157:A158"/>
    <mergeCell ref="A176:A177"/>
    <mergeCell ref="A198:A200"/>
    <mergeCell ref="A204:A205"/>
    <mergeCell ref="A213:A214"/>
    <mergeCell ref="A236:A237"/>
    <mergeCell ref="A259:A260"/>
    <mergeCell ref="A265:A266"/>
    <mergeCell ref="A276:A277"/>
    <mergeCell ref="D132:D133"/>
    <mergeCell ref="D157:D158"/>
    <mergeCell ref="D176:D177"/>
    <mergeCell ref="E14:E15"/>
    <mergeCell ref="E151:E152"/>
    <mergeCell ref="I14:I15"/>
    <mergeCell ref="M14:M15"/>
    <mergeCell ref="Q14:Q15"/>
    <mergeCell ref="R132:R133"/>
    <mergeCell ref="R157:R158"/>
    <mergeCell ref="R176:R177"/>
    <mergeCell ref="S151:S152"/>
    <mergeCell ref="U14:U15"/>
    <mergeCell ref="Y14:Y15"/>
    <mergeCell ref="U1:Y7"/>
    <mergeCell ref="A9:D10"/>
    <mergeCell ref="Q9:T10"/>
    <mergeCell ref="U9:Y10"/>
    <mergeCell ref="B12:E13"/>
    <mergeCell ref="N12:Q13"/>
    <mergeCell ref="R12:U13"/>
    <mergeCell ref="V12:Y13"/>
    <mergeCell ref="E36:F37"/>
    <mergeCell ref="G36:K37"/>
    <mergeCell ref="L36:P37"/>
    <mergeCell ref="T36:U37"/>
    <mergeCell ref="V36:Y37"/>
    <mergeCell ref="E51:F52"/>
    <mergeCell ref="G51:K52"/>
    <mergeCell ref="L51:P52"/>
    <mergeCell ref="T51:U52"/>
    <mergeCell ref="V51:Y52"/>
    <mergeCell ref="E64:F65"/>
    <mergeCell ref="G64:K65"/>
    <mergeCell ref="L64:P65"/>
    <mergeCell ref="T64:U65"/>
    <mergeCell ref="V64:Y65"/>
    <mergeCell ref="L69:Y74"/>
    <mergeCell ref="E76:K77"/>
    <mergeCell ref="L76:P77"/>
    <mergeCell ref="T76:Y77"/>
    <mergeCell ref="E99:K100"/>
    <mergeCell ref="L99:P100"/>
    <mergeCell ref="T99:Y100"/>
    <mergeCell ref="E105:K106"/>
    <mergeCell ref="L105:P106"/>
    <mergeCell ref="T105:Y106"/>
    <mergeCell ref="L112:Y113"/>
    <mergeCell ref="E114:K115"/>
    <mergeCell ref="L114:P115"/>
    <mergeCell ref="T114:Y115"/>
    <mergeCell ref="E123:K124"/>
    <mergeCell ref="L123:P124"/>
    <mergeCell ref="T123:Y124"/>
    <mergeCell ref="E132:K133"/>
    <mergeCell ref="S132:Y133"/>
    <mergeCell ref="L132:O133"/>
    <mergeCell ref="F151:K152"/>
    <mergeCell ref="L151:O152"/>
    <mergeCell ref="T151:Y152"/>
    <mergeCell ref="E157:K158"/>
    <mergeCell ref="S157:Y158"/>
    <mergeCell ref="L157:O158"/>
    <mergeCell ref="E176:K177"/>
    <mergeCell ref="S176:Y177"/>
    <mergeCell ref="L176:O177"/>
    <mergeCell ref="J198:K200"/>
    <mergeCell ref="L198:Y200"/>
    <mergeCell ref="B204:C205"/>
    <mergeCell ref="P204:Q205"/>
    <mergeCell ref="D204:K205"/>
    <mergeCell ref="L204:O205"/>
    <mergeCell ref="R204:Y205"/>
    <mergeCell ref="D207:K210"/>
    <mergeCell ref="R207:Y210"/>
    <mergeCell ref="E213:K214"/>
    <mergeCell ref="L213:P214"/>
    <mergeCell ref="T213:Y214"/>
    <mergeCell ref="L233:Y235"/>
    <mergeCell ref="E236:K237"/>
    <mergeCell ref="L236:P237"/>
    <mergeCell ref="T236:Y237"/>
    <mergeCell ref="E265:K266"/>
    <mergeCell ref="L265:P266"/>
    <mergeCell ref="T265:Y266"/>
    <mergeCell ref="V57:Y59"/>
    <mergeCell ref="G59:K62"/>
    <mergeCell ref="V54:Y56"/>
    <mergeCell ref="V60:Y62"/>
    <mergeCell ref="G68:K70"/>
    <mergeCell ref="G71:K74"/>
    <mergeCell ref="E161:K166"/>
    <mergeCell ref="S161:Y166"/>
    <mergeCell ref="E239:K243"/>
    <mergeCell ref="E244:K248"/>
    <mergeCell ref="E259:K260"/>
    <mergeCell ref="L259:P260"/>
    <mergeCell ref="T259:Y260"/>
    <mergeCell ref="F276:K277"/>
    <mergeCell ref="E287:K293"/>
    <mergeCell ref="L276:P277"/>
    <mergeCell ref="T276:Y277"/>
    <mergeCell ref="L284:Y293"/>
    <mergeCell ref="T279:Y283"/>
  </mergeCells>
  <pageMargins left="0.7" right="0.7" top="0.75" bottom="0.75" header="0" footer="0"/>
  <pageSetup paperSize="9" scale="34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ANNUAL (A1.A)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Gressyl Cabana</cp:lastModifiedBy>
  <dcterms:created xsi:type="dcterms:W3CDTF">2026-03-03T07:43:00Z</dcterms:created>
  <dcterms:modified xsi:type="dcterms:W3CDTF">2026-03-04T07:00:48Z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8F38C3A5FB524D129240EF56833A19D1_13</vt:lpwstr>
  </property>
  <property fmtid="{D5CDD505-2E9C-101B-9397-08002B2CF9AE}" pid="3" name="KSOProductBuildVer">
    <vt:lpwstr>1033-12.2.0.23196</vt:lpwstr>
  </property>
</Properties>
</file>